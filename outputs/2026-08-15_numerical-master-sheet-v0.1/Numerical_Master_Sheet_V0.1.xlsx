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5fe969de5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cf911ed483344205"/>
    <x:sheet xmlns:r="http://schemas.openxmlformats.org/officeDocument/2006/relationships" name="01_核心假设" sheetId="2" r:id="R7e3e528acc6e4f81"/>
    <x:sheet xmlns:r="http://schemas.openxmlformats.org/officeDocument/2006/relationships" name="02_境界时间轴" sheetId="3" r:id="R0d9278abcf8441de"/>
    <x:sheet xmlns:r="http://schemas.openxmlformats.org/officeDocument/2006/relationships" name="03_修为XP" sheetId="4" r:id="R5403242aadbf4480"/>
    <x:sheet xmlns:r="http://schemas.openxmlformats.org/officeDocument/2006/relationships" name="04_百艺XP" sheetId="5" r:id="Rd02f87eb34734734"/>
    <x:sheet xmlns:r="http://schemas.openxmlformats.org/officeDocument/2006/relationships" name="05_采集行动" sheetId="6" r:id="R991be07ce786416c"/>
    <x:sheet xmlns:r="http://schemas.openxmlformats.org/officeDocument/2006/relationships" name="06_炼丹配方" sheetId="7" r:id="R152917cb78b2469f"/>
    <x:sheet xmlns:r="http://schemas.openxmlformats.org/officeDocument/2006/relationships" name="07_炼器配方" sheetId="8" r:id="R3c2a7cfaa4b54012"/>
    <x:sheet xmlns:r="http://schemas.openxmlformats.org/officeDocument/2006/relationships" name="08_工具梯度" sheetId="9" r:id="R88e5c6e1372b4ae5"/>
    <x:sheet xmlns:r="http://schemas.openxmlformats.org/officeDocument/2006/relationships" name="09_装备梯度" sheetId="10" r:id="Rca662917b73e472c"/>
    <x:sheet xmlns:r="http://schemas.openxmlformats.org/officeDocument/2006/relationships" name="10_怪物秘境" sheetId="11" r:id="Re2f0237e7a8c4967"/>
    <x:sheet xmlns:r="http://schemas.openxmlformats.org/officeDocument/2006/relationships" name="11_突破成本" sheetId="12" r:id="R76f430a783e74aa9"/>
    <x:sheet xmlns:r="http://schemas.openxmlformats.org/officeDocument/2006/relationships" name="12_洞府成本" sheetId="13" r:id="Rb8ff342f058a4311"/>
    <x:sheet xmlns:r="http://schemas.openxmlformats.org/officeDocument/2006/relationships" name="13_淬炼成本" sheetId="14" r:id="R304d0337343742f1"/>
    <x:sheet xmlns:r="http://schemas.openxmlformats.org/officeDocument/2006/relationships" name="14_市场基准价" sheetId="15" r:id="R6972397dc63749e8"/>
    <x:sheet xmlns:r="http://schemas.openxmlformats.org/officeDocument/2006/relationships" name="15_Faucet_Sink" sheetId="16" r:id="R02ef028d6f104230"/>
    <x:sheet xmlns:r="http://schemas.openxmlformats.org/officeDocument/2006/relationships" name="16_玩家成长模拟" sheetId="17" r:id="Rce94d3533e5b4275"/>
    <x:sheet xmlns:r="http://schemas.openxmlformats.org/officeDocument/2006/relationships" name="17_资源突破模拟" sheetId="18" r:id="R53b5248639494d88"/>
    <x:sheet xmlns:r="http://schemas.openxmlformats.org/officeDocument/2006/relationships" name="18_战力秘境模拟" sheetId="19" r:id="R87fdecc60aa846ed"/>
    <x:sheet xmlns:r="http://schemas.openxmlformats.org/officeDocument/2006/relationships" name="19_平衡检查" sheetId="20" r:id="R25c277a7e4564c57"/>
    <x:sheet xmlns:r="http://schemas.openxmlformats.org/officeDocument/2006/relationships" name="20_版本说明" sheetId="21" r:id="R19fecbb0753a425e"/>
  </x:sheets>
</x:workbook>
</file>

<file path=xl/comments1.xml><?xml version="1.0" encoding="utf-8"?>
<x:comments xmlns:x="http://schemas.openxmlformats.org/spreadsheetml/2006/main">
  <x:authors>
    <x:author>tc={B7230A52-35FE-45D9-5E62-CCF399F82D02}</x:author>
    <x:author>tc={22F85697-6664-5852-66D5-D787CAC50C40}</x:author>
    <x:author>tc={8D674488-8EA8-EECC-E512-E80E5BDF063D}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挂机有效利用率包含队列空置、非最优配方和偶尔超过离线容量的损失。建议用测试数据校准。</x:t>
        </x:r>
      </x:text>
    </x:comment>
    <x:comment ref="B3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主动收益占比不是在线时长占比，而是在线秘境与高价值决策贡献的经济等价价值占比。</x:t>
        </x:r>
      </x:text>
    </x:comment>
    <x:comment ref="B5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秘境战略价值系数用于折算无法用即时市场价完整表达的突破门槛、稀有装备和新内容解锁价值。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%"/>
    <x:numFmt numFmtId="201" formatCode="0.0%"/>
    <x:numFmt numFmtId="202" formatCode="0.0"/>
    <x:numFmt numFmtId="203" formatCode="#,##0.0"/>
    <x:numFmt numFmtId="204" formatCode="#,##0"/>
    <x:numFmt numFmtId="205" formatCode="0.00"/>
    <x:numFmt numFmtId="206" formatCode="0.00%"/>
    <x:numFmt numFmtId="207" formatCode="0.00x"/>
    <x:numFmt numFmtId="208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633"/>
      <x:name val="Carlito"/>
    </x:font>
    <x:font>
      <x:b/>
      <x:sz val="11"/>
      <x:color rgb="FFFFFFFF"/>
      <x:name val="Carlito"/>
    </x:font>
    <x:font>
      <x:sz val="10"/>
      <x:color rgb="FF2436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36"/>
      </x:patternFill>
    </x:fill>
    <x:fill>
      <x:patternFill patternType="solid">
        <x:fgColor rgb="FFF7F2E7"/>
      </x:patternFill>
    </x:fill>
    <x:fill>
      <x:patternFill patternType="solid">
        <x:fgColor rgb="FF2F6F62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7">
    <x:border/>
    <x:border>
      <x:right style="thin">
        <x:color rgb="FFC9D6D1"/>
      </x:right>
    </x:border>
    <x:border>
      <x:left style="thin">
        <x:color rgb="FFC9D6D1"/>
      </x:left>
      <x:right style="thin">
        <x:color rgb="FFC9D6D1"/>
      </x:right>
    </x:border>
    <x:border>
      <x:left style="thin">
        <x:color rgb="FFC9D6D1"/>
      </x:left>
    </x:border>
    <x:border>
      <x:bottom style="thin">
        <x:color rgb="FFE5ECE9"/>
      </x:bottom>
    </x:border>
    <x:border>
      <x:top style="thin">
        <x:color rgb="FFE5ECE9"/>
      </x:top>
      <x:bottom style="thin">
        <x:color rgb="FFE5ECE9"/>
      </x:bottom>
    </x:border>
    <x:border>
      <x:top style="thin">
        <x:color rgb="FFE5ECE9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3" fontId="4" fillId="5" borderId="4" xfId="0" applyNumberFormat="1" applyFont="1" applyFill="1" applyBorder="1" applyAlignment="1">
      <x:alignment vertical="center"/>
    </x:xf>
    <x:xf numFmtId="203" fontId="4" fillId="6" borderId="4" xfId="0" applyNumberFormat="1" applyFont="1" applyFill="1" applyBorder="1" applyAlignment="1">
      <x:alignment vertical="center"/>
    </x:xf>
    <x:xf numFmtId="203" fontId="4" fillId="5" borderId="5" xfId="0" applyNumberFormat="1" applyFont="1" applyFill="1" applyBorder="1" applyAlignment="1">
      <x:alignment vertical="center"/>
    </x:xf>
    <x:xf numFmtId="203" fontId="4" fillId="6" borderId="5" xfId="0" applyNumberFormat="1" applyFont="1" applyFill="1" applyBorder="1" applyAlignment="1">
      <x:alignment vertical="center"/>
    </x:xf>
    <x:xf numFmtId="203" fontId="4" fillId="5" borderId="6" xfId="0" applyNumberFormat="1" applyFont="1" applyFill="1" applyBorder="1" applyAlignment="1">
      <x:alignment vertical="center"/>
    </x:xf>
    <x:xf numFmtId="203" fontId="4" fillId="6" borderId="6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204" fontId="4" fillId="6" borderId="4" xfId="0" applyNumberFormat="1" applyFont="1" applyFill="1" applyBorder="1" applyAlignment="1">
      <x:alignment vertical="center"/>
    </x:xf>
    <x:xf numFmtId="204" fontId="4" fillId="6" borderId="5" xfId="0" applyNumberFormat="1" applyFont="1" applyFill="1" applyBorder="1" applyAlignment="1">
      <x:alignment vertical="center"/>
    </x:xf>
    <x:xf numFmtId="204" fontId="4" fillId="7" borderId="5" xfId="0" applyNumberFormat="1" applyFont="1" applyFill="1" applyBorder="1" applyAlignment="1">
      <x:alignment vertical="center"/>
    </x:xf>
    <x:xf numFmtId="204" fontId="4" fillId="6" borderId="6" xfId="0" applyNumberFormat="1" applyFont="1" applyFill="1" applyBorder="1" applyAlignment="1">
      <x:alignment vertical="center"/>
    </x:xf>
    <x:xf numFmtId="204" fontId="4" fillId="5" borderId="4" xfId="0" applyNumberFormat="1" applyFont="1" applyFill="1" applyBorder="1" applyAlignment="1">
      <x:alignment vertical="center"/>
    </x:xf>
    <x:xf numFmtId="204" fontId="4" fillId="5" borderId="5" xfId="0" applyNumberFormat="1" applyFont="1" applyFill="1" applyBorder="1" applyAlignment="1">
      <x:alignment vertical="center"/>
    </x:xf>
    <x:xf numFmtId="204" fontId="4" fillId="5" borderId="6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7" borderId="5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205" fontId="4" fillId="6" borderId="4" xfId="0" applyNumberFormat="1" applyFont="1" applyFill="1" applyBorder="1" applyAlignment="1">
      <x:alignment vertical="center"/>
    </x:xf>
    <x:xf numFmtId="205" fontId="4" fillId="6" borderId="5" xfId="0" applyNumberFormat="1" applyFont="1" applyFill="1" applyBorder="1" applyAlignment="1">
      <x:alignment vertical="center"/>
    </x:xf>
    <x:xf numFmtId="205" fontId="4" fillId="6" borderId="6" xfId="0" applyNumberFormat="1" applyFont="1" applyFill="1" applyBorder="1" applyAlignment="1">
      <x:alignment vertical="center"/>
    </x:xf>
    <x:xf numFmtId="202" fontId="4" fillId="6" borderId="4" xfId="0" applyNumberFormat="1" applyFont="1" applyFill="1" applyBorder="1" applyAlignment="1">
      <x:alignment vertical="center"/>
    </x:xf>
    <x:xf numFmtId="202" fontId="4" fillId="6" borderId="5" xfId="0" applyNumberFormat="1" applyFont="1" applyFill="1" applyBorder="1" applyAlignment="1">
      <x:alignment vertical="center"/>
    </x:xf>
    <x:xf numFmtId="202" fontId="4" fillId="6" borderId="6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1" fontId="4" fillId="6" borderId="5" xfId="0" applyNumberFormat="1" applyFont="1" applyFill="1" applyBorder="1" applyAlignment="1">
      <x:alignment vertical="center"/>
    </x:xf>
    <x:xf numFmtId="201" fontId="4" fillId="6" borderId="6" xfId="0" applyNumberFormat="1" applyFont="1" applyFill="1" applyBorder="1" applyAlignment="1">
      <x:alignment vertical="center"/>
    </x:xf>
    <x:xf numFmtId="206" fontId="4" fillId="5" borderId="4" xfId="0" applyNumberFormat="1" applyFont="1" applyFill="1" applyBorder="1" applyAlignment="1">
      <x:alignment vertical="center"/>
    </x:xf>
    <x:xf numFmtId="206" fontId="4" fillId="5" borderId="5" xfId="0" applyNumberFormat="1" applyFont="1" applyFill="1" applyBorder="1" applyAlignment="1">
      <x:alignment vertical="center"/>
    </x:xf>
    <x:xf numFmtId="206" fontId="4" fillId="5" borderId="6" xfId="0" applyNumberFormat="1" applyFont="1" applyFill="1" applyBorder="1" applyAlignment="1">
      <x:alignment vertical="center"/>
    </x:xf>
    <x:xf numFmtId="207" fontId="4" fillId="6" borderId="4" xfId="0" applyNumberFormat="1" applyFont="1" applyFill="1" applyBorder="1" applyAlignment="1">
      <x:alignment vertical="center"/>
    </x:xf>
    <x:xf numFmtId="207" fontId="4" fillId="6" borderId="5" xfId="0" applyNumberFormat="1" applyFont="1" applyFill="1" applyBorder="1" applyAlignment="1">
      <x:alignment vertical="center"/>
    </x:xf>
    <x:xf numFmtId="207" fontId="4" fillId="6" borderId="6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3" fontId="0" fillId="6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7" fontId="4" fillId="5" borderId="4" xfId="0" applyNumberFormat="1" applyFont="1" applyFill="1" applyBorder="1" applyAlignment="1">
      <x:alignment vertical="center"/>
    </x:xf>
    <x:xf numFmtId="207" fontId="4" fillId="5" borderId="5" xfId="0" applyNumberFormat="1" applyFont="1" applyFill="1" applyBorder="1" applyAlignment="1">
      <x:alignment vertical="center"/>
    </x:xf>
    <x:xf numFmtId="207" fontId="4" fillId="5" borderId="6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208" fontId="4" fillId="6" borderId="4" xfId="0" applyNumberFormat="1" applyFont="1" applyFill="1" applyBorder="1" applyAlignment="1">
      <x:alignment vertical="center"/>
    </x:xf>
    <x:xf numFmtId="208" fontId="4" fillId="6" borderId="5" xfId="0" applyNumberFormat="1" applyFont="1" applyFill="1" applyBorder="1" applyAlignment="1">
      <x:alignment vertical="center"/>
    </x:xf>
    <x:xf numFmtId="208" fontId="4" fillId="6" borderId="6" xfId="0" applyNumberFormat="1" applyFont="1" applyFill="1" applyBorder="1" applyAlignment="1">
      <x:alignment vertical="center"/>
    </x:xf>
    <x:xf numFmtId="201" fontId="4" fillId="7" borderId="4" xfId="0" applyNumberFormat="1" applyFont="1" applyFill="1" applyBorder="1" applyAlignment="1">
      <x:alignment vertical="center"/>
    </x:xf>
    <x:xf numFmtId="201" fontId="4" fillId="7" borderId="5" xfId="0" applyNumberFormat="1" applyFont="1" applyFill="1" applyBorder="1" applyAlignment="1">
      <x:alignment vertical="center"/>
    </x:xf>
    <x:xf numFmtId="201" fontId="4" fillId="7" borderId="6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204" fontId="0" fillId="6" borderId="0" xfId="0" applyNumberFormat="1" applyFont="1" applyFill="1" applyBorder="1"/>
    <x:xf numFmtId="0" fontId="0" fillId="8" borderId="0" xfId="0" applyNumberFormat="1" applyFont="1" applyFill="1" applyBorder="1"/>
    <x:xf numFmtId="200" fontId="0" fillId="6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449add1d24239" /><Relationship Type="http://schemas.openxmlformats.org/officeDocument/2006/relationships/theme" Target="/xl/theme/theme1.xml" Id="R0b103e9fe5604ba7" /><Relationship Type="http://schemas.openxmlformats.org/officeDocument/2006/relationships/sharedStrings" Target="/xl/sharedStrings.xml" Id="R2c2ec215655340b4" /><Relationship Type="http://schemas.openxmlformats.org/officeDocument/2006/relationships/worksheet" Target="/xl/worksheets/sheet1.xml" Id="Rcf911ed483344205" /><Relationship Type="http://schemas.openxmlformats.org/officeDocument/2006/relationships/worksheet" Target="/xl/worksheets/sheet2.xml" Id="R7e3e528acc6e4f81" /><Relationship Type="http://schemas.openxmlformats.org/officeDocument/2006/relationships/worksheet" Target="/xl/worksheets/sheet3.xml" Id="R0d9278abcf8441de" /><Relationship Type="http://schemas.openxmlformats.org/officeDocument/2006/relationships/worksheet" Target="/xl/worksheets/sheet4.xml" Id="R5403242aadbf4480" /><Relationship Type="http://schemas.openxmlformats.org/officeDocument/2006/relationships/worksheet" Target="/xl/worksheets/sheet5.xml" Id="Rd02f87eb34734734" /><Relationship Type="http://schemas.openxmlformats.org/officeDocument/2006/relationships/worksheet" Target="/xl/worksheets/sheet6.xml" Id="R991be07ce786416c" /><Relationship Type="http://schemas.openxmlformats.org/officeDocument/2006/relationships/worksheet" Target="/xl/worksheets/sheet7.xml" Id="R152917cb78b2469f" /><Relationship Type="http://schemas.openxmlformats.org/officeDocument/2006/relationships/worksheet" Target="/xl/worksheets/sheet8.xml" Id="R3c2a7cfaa4b54012" /><Relationship Type="http://schemas.openxmlformats.org/officeDocument/2006/relationships/worksheet" Target="/xl/worksheets/sheet9.xml" Id="R88e5c6e1372b4ae5" /><Relationship Type="http://schemas.openxmlformats.org/officeDocument/2006/relationships/worksheet" Target="/xl/worksheets/sheet10.xml" Id="Rca662917b73e472c" /><Relationship Type="http://schemas.openxmlformats.org/officeDocument/2006/relationships/worksheet" Target="/xl/worksheets/sheet11.xml" Id="Re2f0237e7a8c4967" /><Relationship Type="http://schemas.openxmlformats.org/officeDocument/2006/relationships/worksheet" Target="/xl/worksheets/sheet12.xml" Id="R76f430a783e74aa9" /><Relationship Type="http://schemas.openxmlformats.org/officeDocument/2006/relationships/worksheet" Target="/xl/worksheets/sheet13.xml" Id="Rb8ff342f058a4311" /><Relationship Type="http://schemas.openxmlformats.org/officeDocument/2006/relationships/worksheet" Target="/xl/worksheets/sheet14.xml" Id="R304d0337343742f1" /><Relationship Type="http://schemas.openxmlformats.org/officeDocument/2006/relationships/worksheet" Target="/xl/worksheets/sheet15.xml" Id="R6972397dc63749e8" /><Relationship Type="http://schemas.openxmlformats.org/officeDocument/2006/relationships/worksheet" Target="/xl/worksheets/sheet16.xml" Id="R02ef028d6f104230" /><Relationship Type="http://schemas.openxmlformats.org/officeDocument/2006/relationships/worksheet" Target="/xl/worksheets/sheet17.xml" Id="Rce94d3533e5b4275" /><Relationship Type="http://schemas.openxmlformats.org/officeDocument/2006/relationships/worksheet" Target="/xl/worksheets/sheet18.xml" Id="R53b5248639494d88" /><Relationship Type="http://schemas.openxmlformats.org/officeDocument/2006/relationships/worksheet" Target="/xl/worksheets/sheet19.xml" Id="R87fdecc60aa846ed" /><Relationship Type="http://schemas.openxmlformats.org/officeDocument/2006/relationships/worksheet" Target="/xl/worksheets/sheet20.xml" Id="R25c277a7e4564c57" /><Relationship Type="http://schemas.openxmlformats.org/officeDocument/2006/relationships/worksheet" Target="/xl/worksheets/sheet21.xml" Id="R19fecbb0753a425e" /><Relationship Type="http://schemas.microsoft.com/office/2017/10/relationships/person" Target="/xl/persons/person.xml" Id="R42a50425915146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1f60a091084c50" /><Relationship Type="http://schemas.openxmlformats.org/officeDocument/2006/relationships/chart" Target="/xl/drawings/charts/chart2.xml" Id="Rf001a81facd644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累计修为与筑基门槛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累计修为</c:v>
          </c:tx>
          <c:marker>
            <c:symbol val="none"/>
          </c:marker>
          <c:cat>
            <c:strRef>
              <c:f>'00_总览'!$A$15:$A$20</c:f>
              <c:strCache>
                <c:ptCount val="0"/>
              </c:strCache>
            </c:strRef>
          </c:cat>
          <c:val>
            <c:numRef>
              <c:f>'00_总览'!$B$15:$B$20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筑基门槛</c:v>
          </c:tx>
          <c:marker>
            <c:symbol val="none"/>
          </c:marker>
          <c:cat>
            <c:strRef>
              <c:f>'00_总览'!$A$15:$A$20</c:f>
              <c:strCache>
                <c:ptCount val="0"/>
              </c:strCache>
            </c:strRef>
          </c:cat>
          <c:val>
            <c:numRef>
              <c:f>'00_总览'!$C$15:$C$20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每日经济流量场景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日流量</c:v>
          </c:tx>
          <c:cat>
            <c:strRef>
              <c:f>'00_总览'!$A$24:$A$25</c:f>
              <c:strCache>
                <c:ptCount val="0"/>
              </c:strCache>
            </c:strRef>
          </c:cat>
          <c:val>
            <c:numRef>
              <c:f>'00_总览'!$B$24:$B$25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1f60a091084c50"/>
        </a:graphicData>
      </a:graphic>
    </xdr:graphicFrame>
    <xdr:clientData/>
  </xdr:twoCellAnchor>
  <xdr:twoCellAnchor>
    <xdr:from>
      <xdr:col>4</xdr:col>
      <xdr:colOff>0</xdr:colOff>
      <xdr:row>30</xdr:row>
      <xdr:rowOff>0</xdr:rowOff>
    </xdr:from>
    <xdr:to>
      <xdr:col>10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01a81facd644d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7B68752-419D-46FD-B527-4429298F440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2" dT="2026-08-15T13:23:17.324" personId="{C7B68752-419D-46FD-B527-4429298F4406}" id="{B7230A52-35FE-45D9-5E62-CCF399F82D02}">
    <xltc:text>挂机有效利用率包含队列空置、非最优配方和偶尔超过离线容量的损失。建议用测试数据校准。</xltc:text>
  </xltc:threadedComment>
  <xltc:threadedComment ref="B30" dT="2026-08-15T13:23:17.324" personId="{C7B68752-419D-46FD-B527-4429298F4406}" id="{22F85697-6664-5852-66D5-D787CAC50C40}">
    <xltc:text>主动收益占比不是在线时长占比，而是在线秘境与高价值决策贡献的经济等价价值占比。</xltc:text>
  </xltc:threadedComment>
  <xltc:threadedComment ref="B52" dT="2026-08-15T13:23:17.324" personId="{C7B68752-419D-46FD-B527-4429298F4406}" id="{8D674488-8EA8-EECC-E512-E80E5BDF063D}">
    <xltc:text>秘境战略价值系数用于折算无法用即时市场价完整表达的突破门槛、稀有装备和新内容解锁价值。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bcfd84712a45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63d77e763864d42" /><Relationship Type="http://schemas.openxmlformats.org/officeDocument/2006/relationships/vmlDrawing" Target="/xl/drawings/vmldrawing.vml" Id="R1454c1037ab54ed3" /><Relationship Type="http://schemas.microsoft.com/office/2017/10/relationships/threadedComment" Target="/xl/threadedcomments/threadedcomment.xml" Id="Rf0fe4c1a69dd48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7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6" hidden="0" customWidth="1"/>
    <x:col min="9" max="9" width="12" hidden="0" customWidth="1"/>
    <x:col min="10" max="10" width="13" hidden="0" customWidth="1"/>
  </x:cols>
  <x:sheetData>
    <x:row r="1" ht="30" customHeight="1">
      <x:c r="A1" s="3" t="str">
        <x:v>修仙 Idle MMO｜Numerical Master Sheet V0.1 Final</x:v>
      </x:c>
      <x:c r="B1" s="3" t="str">
        <x:v>修仙 Idle MMO｜Numerical Master Sheet V0.1 Final</x:v>
      </x:c>
      <x:c r="C1" s="3" t="str">
        <x:v>修仙 Idle MMO｜Numerical Master Sheet V0.1 Final</x:v>
      </x:c>
      <x:c r="D1" s="3" t="str">
        <x:v>修仙 Idle MMO｜Numerical Master Sheet V0.1 Final</x:v>
      </x:c>
      <x:c r="E1" s="3" t="str">
        <x:v>修仙 Idle MMO｜Numerical Master Sheet V0.1 Final</x:v>
      </x:c>
      <x:c r="F1" s="3" t="str">
        <x:v>修仙 Idle MMO｜Numerical Master Sheet V0.1 Final</x:v>
      </x:c>
      <x:c r="G1" s="3" t="str">
        <x:v>修仙 Idle MMO｜Numerical Master Sheet V0.1 Final</x:v>
      </x:c>
      <x:c r="H1" s="3" t="str">
        <x:v>修仙 Idle MMO｜Numerical Master Sheet V0.1 Final</x:v>
      </x:c>
      <x:c r="I1" s="3" t="str">
        <x:v>修仙 Idle MMO｜Numerical Master Sheet V0.1 Final</x:v>
      </x:c>
      <x:c r="J1" s="3" t="str">
        <x:v>修仙 Idle MMO｜Numerical Master Sheet V0.1 Final</x:v>
      </x:c>
    </x:row>
    <x:row r="2">
      <x:c r="A2" s="7" t="str">
        <x:v>挂机负责稳定积累；上线负责规划、秘境与高价值成果转化。境界同时检查修为、资源与资产；金丹以后保留扩展锚点。</x:v>
      </x:c>
      <x:c r="B2" s="7" t="str">
        <x:v>挂机负责稳定积累；上线负责规划、秘境与高价值成果转化。境界同时检查修为、资源与资产；金丹以后保留扩展锚点。</x:v>
      </x:c>
      <x:c r="C2" s="7" t="str">
        <x:v>挂机负责稳定积累；上线负责规划、秘境与高价值成果转化。境界同时检查修为、资源与资产；金丹以后保留扩展锚点。</x:v>
      </x:c>
      <x:c r="D2" s="7" t="str">
        <x:v>挂机负责稳定积累；上线负责规划、秘境与高价值成果转化。境界同时检查修为、资源与资产；金丹以后保留扩展锚点。</x:v>
      </x:c>
      <x:c r="E2" s="7" t="str">
        <x:v>挂机负责稳定积累；上线负责规划、秘境与高价值成果转化。境界同时检查修为、资源与资产；金丹以后保留扩展锚点。</x:v>
      </x:c>
      <x:c r="F2" s="7" t="str">
        <x:v>挂机负责稳定积累；上线负责规划、秘境与高价值成果转化。境界同时检查修为、资源与资产；金丹以后保留扩展锚点。</x:v>
      </x:c>
      <x:c r="G2" s="7" t="str">
        <x:v>挂机负责稳定积累；上线负责规划、秘境与高价值成果转化。境界同时检查修为、资源与资产；金丹以后保留扩展锚点。</x:v>
      </x:c>
      <x:c r="H2" s="7" t="str">
        <x:v>挂机负责稳定积累；上线负责规划、秘境与高价值成果转化。境界同时检查修为、资源与资产；金丹以后保留扩展锚点。</x:v>
      </x:c>
      <x:c r="I2" s="7" t="str">
        <x:v>挂机负责稳定积累；上线负责规划、秘境与高价值成果转化。境界同时检查修为、资源与资产；金丹以后保留扩展锚点。</x:v>
      </x:c>
      <x:c r="J2" s="7" t="str">
        <x:v>挂机负责稳定积累；上线负责规划、秘境与高价值成果转化。境界同时检查修为、资源与资产；金丹以后保留扩展锚点。</x:v>
      </x:c>
    </x:row>
    <x:row r="3">
      <x:c r="A3" s="7" t="str">
        <x:v>挂机负责稳定积累；上线负责规划、秘境与高价值成果转化。境界同时检查修为、资源与资产；金丹以后保留扩展锚点。</x:v>
      </x:c>
      <x:c r="B3" s="7" t="str">
        <x:v>挂机负责稳定积累；上线负责规划、秘境与高价值成果转化。境界同时检查修为、资源与资产；金丹以后保留扩展锚点。</x:v>
      </x:c>
      <x:c r="C3" s="7" t="str">
        <x:v>挂机负责稳定积累；上线负责规划、秘境与高价值成果转化。境界同时检查修为、资源与资产；金丹以后保留扩展锚点。</x:v>
      </x:c>
      <x:c r="D3" s="7" t="str">
        <x:v>挂机负责稳定积累；上线负责规划、秘境与高价值成果转化。境界同时检查修为、资源与资产；金丹以后保留扩展锚点。</x:v>
      </x:c>
      <x:c r="E3" s="7" t="str">
        <x:v>挂机负责稳定积累；上线负责规划、秘境与高价值成果转化。境界同时检查修为、资源与资产；金丹以后保留扩展锚点。</x:v>
      </x:c>
      <x:c r="F3" s="7" t="str">
        <x:v>挂机负责稳定积累；上线负责规划、秘境与高价值成果转化。境界同时检查修为、资源与资产；金丹以后保留扩展锚点。</x:v>
      </x:c>
      <x:c r="G3" s="7" t="str">
        <x:v>挂机负责稳定积累；上线负责规划、秘境与高价值成果转化。境界同时检查修为、资源与资产；金丹以后保留扩展锚点。</x:v>
      </x:c>
      <x:c r="H3" s="7" t="str">
        <x:v>挂机负责稳定积累；上线负责规划、秘境与高价值成果转化。境界同时检查修为、资源与资产；金丹以后保留扩展锚点。</x:v>
      </x:c>
      <x:c r="I3" s="7" t="str">
        <x:v>挂机负责稳定积累；上线负责规划、秘境与高价值成果转化。境界同时检查修为、资源与资产；金丹以后保留扩展锚点。</x:v>
      </x:c>
      <x:c r="J3" s="7" t="str">
        <x:v>挂机负责稳定积累；上线负责规划、秘境与高价值成果转化。境界同时检查修为、资源与资产；金丹以后保留扩展锚点。</x:v>
      </x:c>
    </x:row>
    <x:row r="5" ht="28" customHeight="1">
      <x:c r="A5" s="19" t="str">
        <x:v>核心设计输入</x:v>
      </x:c>
      <x:c r="B5" s="21" t="str">
        <x:v>核心设计输入</x:v>
      </x:c>
      <x:c r="D5" s="19" t="str">
        <x:v>均衡散修里程碑结果</x:v>
      </x:c>
      <x:c r="E5" s="20" t="str">
        <x:v>均衡散修里程碑结果</x:v>
      </x:c>
      <x:c r="F5" s="20" t="str">
        <x:v>均衡散修里程碑结果</x:v>
      </x:c>
      <x:c r="G5" s="20" t="str">
        <x:v>均衡散修里程碑结果</x:v>
      </x:c>
      <x:c r="H5" s="20" t="str">
        <x:v>均衡散修里程碑结果</x:v>
      </x:c>
      <x:c r="I5" s="20" t="str">
        <x:v>均衡散修里程碑结果</x:v>
      </x:c>
      <x:c r="J5" s="21" t="str">
        <x:v>均衡散修里程碑结果</x:v>
      </x:c>
    </x:row>
    <x:row r="6" ht="28" customHeight="1">
      <x:c r="A6" s="26" t="str">
        <x:v>基础离线容量</x:v>
      </x:c>
      <x:c r="B6" s="35" t="n">
        <x:f>'01_核心假设'!B9</x:f>
        <x:v>10</x:v>
      </x:c>
      <x:c r="D6" s="19" t="str">
        <x:v>Day</x:v>
      </x:c>
      <x:c r="E6" s="20" t="str">
        <x:v>实际境界阶段</x:v>
      </x:c>
      <x:c r="F6" s="20" t="str">
        <x:v>累计修为</x:v>
      </x:c>
      <x:c r="G6" s="20" t="str">
        <x:v>百艺XP</x:v>
      </x:c>
      <x:c r="H6" s="20" t="str">
        <x:v>可投资净资产</x:v>
      </x:c>
      <x:c r="I6" s="20" t="str">
        <x:v>秘境次数</x:v>
      </x:c>
      <x:c r="J6" s="21" t="str">
        <x:v>主动占比</x:v>
      </x:c>
    </x:row>
    <x:row r="7">
      <x:c r="A7" s="27" t="str">
        <x:v>每日上线次数</x:v>
      </x:c>
      <x:c r="B7" s="36" t="n">
        <x:f>'01_核心假设'!B10</x:f>
        <x:v>2</x:v>
      </x:c>
      <x:c r="D7" s="35" t="n">
        <x:f>'16_玩家成长模拟'!B12</x:f>
        <x:v>1</x:v>
      </x:c>
      <x:c r="E7" s="35" t="str">
        <x:f>'16_玩家成长模拟'!M12</x:f>
        <x:v>炼气中期</x:v>
      </x:c>
      <x:c r="F7" s="45" t="n">
        <x:f>'16_玩家成长模拟'!L12</x:f>
        <x:v>2779.3776601609693</x:v>
      </x:c>
      <x:c r="G7" s="45" t="n">
        <x:f>'16_玩家成长模拟'!N12</x:f>
        <x:v>1166.1578994248193</x:v>
      </x:c>
      <x:c r="H7" s="45" t="n">
        <x:f>'16_玩家成长模拟'!AA12</x:f>
        <x:v>9280.589635946439</x:v>
      </x:c>
      <x:c r="I7" s="45" t="n">
        <x:f>'16_玩家成长模拟'!J12</x:f>
        <x:v>1.6</x:v>
      </x:c>
      <x:c r="J7" s="61" t="n">
        <x:f>'16_玩家成长模拟'!Q12</x:f>
        <x:v>0.4580822128600106</x:v>
      </x:c>
    </x:row>
    <x:row r="8">
      <x:c r="A8" s="27" t="str">
        <x:v>单次在线时长</x:v>
      </x:c>
      <x:c r="B8" s="36" t="n">
        <x:f>'01_核心假设'!B11</x:f>
        <x:v>25</x:v>
      </x:c>
      <x:c r="D8" s="44" t="n">
        <x:f>'16_玩家成长模拟'!B13</x:f>
        <x:v>7</x:v>
      </x:c>
      <x:c r="E8" s="44" t="str">
        <x:f>'16_玩家成长模拟'!M13</x:f>
        <x:v>炼气大圆满</x:v>
      </x:c>
      <x:c r="F8" s="47" t="n">
        <x:f>'16_玩家成长模拟'!L13</x:f>
        <x:v>22755.104929775825</x:v>
      </x:c>
      <x:c r="G8" s="47" t="n">
        <x:f>'16_玩家成长模拟'!N13</x:f>
        <x:v>9974.115887921205</x:v>
      </x:c>
      <x:c r="H8" s="47" t="n">
        <x:f>'16_玩家成长模拟'!AA13</x:f>
        <x:v>71778.62227768952</x:v>
      </x:c>
      <x:c r="I8" s="47" t="n">
        <x:f>'16_玩家成长模拟'!J13</x:f>
        <x:v>11.200000000000001</x:v>
      </x:c>
      <x:c r="J8" s="91" t="n">
        <x:f>'16_玩家成长模拟'!Q13</x:f>
        <x:v>0.3481674861232694</x:v>
      </x:c>
    </x:row>
    <x:row r="9">
      <x:c r="A9" s="27" t="str">
        <x:v>筑基目标日</x:v>
      </x:c>
      <x:c r="B9" s="36" t="n">
        <x:f>'01_核心假设'!B32</x:f>
        <x:v>10</x:v>
      </x:c>
      <x:c r="D9" s="44" t="n">
        <x:f>'16_玩家成长模拟'!B15</x:f>
        <x:v>30</x:v>
      </x:c>
      <x:c r="E9" s="44" t="str">
        <x:f>'16_玩家成长模拟'!M15</x:f>
        <x:v>筑基后期</x:v>
      </x:c>
      <x:c r="F9" s="47" t="n">
        <x:f>'16_玩家成长模拟'!L15</x:f>
        <x:v>112024.09548275507</x:v>
      </x:c>
      <x:c r="G9" s="47" t="n">
        <x:f>'16_玩家成长模拟'!N15</x:f>
        <x:v>50329.93284149508</x:v>
      </x:c>
      <x:c r="H9" s="47" t="n">
        <x:f>'16_玩家成长模拟'!AA15</x:f>
        <x:v>533259.3335117085</x:v>
      </x:c>
      <x:c r="I9" s="47" t="n">
        <x:f>'16_玩家成长模拟'!J15</x:f>
        <x:v>48</x:v>
      </x:c>
      <x:c r="J9" s="91" t="n">
        <x:f>'16_玩家成长模拟'!Q15</x:f>
        <x:v>0.30362330218745887</x:v>
      </x:c>
    </x:row>
    <x:row r="10">
      <x:c r="A10" s="27" t="str">
        <x:v>坊市税</x:v>
      </x:c>
      <x:c r="B10" s="62" t="n">
        <x:f>'01_核心假设'!B15</x:f>
        <x:v>0.03</x:v>
      </x:c>
      <x:c r="D10" s="36" t="n">
        <x:f>'16_玩家成长模拟'!B16</x:f>
        <x:v>90</x:v>
      </x:c>
      <x:c r="E10" s="36" t="str">
        <x:f>'16_玩家成长模拟'!M16</x:f>
        <x:v>金丹</x:v>
      </x:c>
      <x:c r="F10" s="46" t="n">
        <x:f>'16_玩家成长模拟'!L16</x:f>
        <x:v>365978.78224835015</x:v>
      </x:c>
      <x:c r="G10" s="46" t="n">
        <x:f>'16_玩家成长模拟'!N16</x:f>
        <x:v>169077.11800897805</x:v>
      </x:c>
      <x:c r="H10" s="46" t="n">
        <x:f>'16_玩家成长模拟'!AA16</x:f>
        <x:v>1713208.522910771</x:v>
      </x:c>
      <x:c r="I10" s="46" t="n">
        <x:f>'16_玩家成长模拟'!J16</x:f>
        <x:v>144</x:v>
      </x:c>
      <x:c r="J10" s="62" t="n">
        <x:f>'16_玩家成长模拟'!Q16</x:f>
        <x:v>0.17859532526955235</x:v>
      </x:c>
    </x:row>
    <x:row r="11">
      <x:c r="A11" s="28" t="str">
        <x:v>主动收益目标</x:v>
      </x:c>
      <x:c r="B11" s="63" t="n">
        <x:f>'01_核心假设'!B31</x:f>
        <x:v>0.3</x:v>
      </x:c>
      <x:c r="D11" s="36" t="n">
        <x:f>'16_玩家成长模拟'!B17</x:f>
        <x:v>180</x:v>
      </x:c>
      <x:c r="E11" s="36" t="str">
        <x:f>'16_玩家成长模拟'!M17</x:f>
        <x:v>元婴</x:v>
      </x:c>
      <x:c r="F11" s="46" t="n">
        <x:f>'16_玩家成长模拟'!L17</x:f>
        <x:v>785043.409676021</x:v>
      </x:c>
      <x:c r="G11" s="46" t="n">
        <x:f>'16_玩家成长模拟'!N17</x:f>
        <x:v>361253.5757933316</x:v>
      </x:c>
      <x:c r="H11" s="46" t="n">
        <x:f>'16_玩家成长模拟'!AA17</x:f>
        <x:v>3706116.6515813926</x:v>
      </x:c>
      <x:c r="I11" s="46" t="n">
        <x:f>'16_玩家成长模拟'!J17</x:f>
        <x:v>288</x:v>
      </x:c>
      <x:c r="J11" s="62" t="n">
        <x:f>'16_玩家成长模拟'!Q17</x:f>
        <x:v>0.1881087031096538</x:v>
      </x:c>
    </x:row>
    <x:row r="12">
      <x:c r="D12" s="37" t="n">
        <x:f>'16_玩家成长模拟'!B18</x:f>
        <x:v>365</x:v>
      </x:c>
      <x:c r="E12" s="37" t="str">
        <x:f>'16_玩家成长模拟'!M18</x:f>
        <x:v>化神</x:v>
      </x:c>
      <x:c r="F12" s="48" t="n">
        <x:f>'16_玩家成长模拟'!L18</x:f>
        <x:v>1697854.7831599417</x:v>
      </x:c>
      <x:c r="G12" s="48" t="n">
        <x:f>'16_玩家成长模拟'!N18</x:f>
        <x:v>780506.1607726344</x:v>
      </x:c>
      <x:c r="H12" s="48" t="n">
        <x:f>'16_玩家成长模拟'!AA18</x:f>
        <x:v>8036045.911826206</x:v>
      </x:c>
      <x:c r="I12" s="48" t="n">
        <x:f>'16_玩家成长模拟'!J18</x:f>
        <x:v>584</x:v>
      </x:c>
      <x:c r="J12" s="63" t="n">
        <x:f>'16_玩家成长模拟'!Q18</x:f>
        <x:v>0.19054112237012216</x:v>
      </x:c>
    </x:row>
    <x:row r="14" ht="28" customHeight="1">
      <x:c r="A14" s="19" t="str">
        <x:v>里程碑</x:v>
      </x:c>
      <x:c r="B14" s="20" t="str">
        <x:v>累计修为</x:v>
      </x:c>
      <x:c r="C14" s="21" t="str">
        <x:v>筑基门槛</x:v>
      </x:c>
    </x:row>
    <x:row r="15">
      <x:c r="A15" s="74" t="str">
        <x:f>"Day "&amp;'16_玩家成长模拟'!B12</x:f>
        <x:v>Day 1</x:v>
      </x:c>
      <x:c r="B15" s="98" t="n">
        <x:f>'16_玩家成长模拟'!L12</x:f>
        <x:v>2779.3776601609693</x:v>
      </x:c>
      <x:c r="C15" s="98" t="n">
        <x:f>INDEX('02_境界时间轴'!$A$6:$A$17,MATCH("筑基",'02_境界时间轴'!$C$6:$C$17,0))</x:f>
        <x:v>24100</x:v>
      </x:c>
    </x:row>
    <x:row r="16">
      <x:c r="A16" s="74" t="str">
        <x:f>"Day "&amp;'16_玩家成长模拟'!B13</x:f>
        <x:v>Day 7</x:v>
      </x:c>
      <x:c r="B16" s="98" t="n">
        <x:f>'16_玩家成长模拟'!L13</x:f>
        <x:v>22755.104929775825</x:v>
      </x:c>
      <x:c r="C16" s="98" t="n">
        <x:f>INDEX('02_境界时间轴'!$A$6:$A$17,MATCH("筑基",'02_境界时间轴'!$C$6:$C$17,0))</x:f>
        <x:v>24100</x:v>
      </x:c>
    </x:row>
    <x:row r="17">
      <x:c r="A17" s="74" t="str">
        <x:f>"Day "&amp;'16_玩家成长模拟'!B15</x:f>
        <x:v>Day 30</x:v>
      </x:c>
      <x:c r="B17" s="98" t="n">
        <x:f>'16_玩家成长模拟'!L15</x:f>
        <x:v>112024.09548275507</x:v>
      </x:c>
      <x:c r="C17" s="98" t="n">
        <x:f>INDEX('02_境界时间轴'!$A$6:$A$17,MATCH("筑基",'02_境界时间轴'!$C$6:$C$17,0))</x:f>
        <x:v>24100</x:v>
      </x:c>
    </x:row>
    <x:row r="18">
      <x:c r="A18" s="74" t="str">
        <x:f>"Day "&amp;'16_玩家成长模拟'!B16</x:f>
        <x:v>Day 90</x:v>
      </x:c>
      <x:c r="B18" s="98" t="n">
        <x:f>'16_玩家成长模拟'!L16</x:f>
        <x:v>365978.78224835015</x:v>
      </x:c>
      <x:c r="C18" s="98" t="n">
        <x:f>INDEX('02_境界时间轴'!$A$6:$A$17,MATCH("筑基",'02_境界时间轴'!$C$6:$C$17,0))</x:f>
        <x:v>24100</x:v>
      </x:c>
    </x:row>
    <x:row r="19">
      <x:c r="A19" s="74" t="str">
        <x:f>"Day "&amp;'16_玩家成长模拟'!B17</x:f>
        <x:v>Day 180</x:v>
      </x:c>
      <x:c r="B19" s="98" t="n">
        <x:f>'16_玩家成长模拟'!L17</x:f>
        <x:v>785043.409676021</x:v>
      </x:c>
      <x:c r="C19" s="98" t="n">
        <x:f>INDEX('02_境界时间轴'!$A$6:$A$17,MATCH("筑基",'02_境界时间轴'!$C$6:$C$17,0))</x:f>
        <x:v>24100</x:v>
      </x:c>
    </x:row>
    <x:row r="20">
      <x:c r="A20" s="74" t="str">
        <x:f>"Day "&amp;'16_玩家成长模拟'!B18</x:f>
        <x:v>Day 365</x:v>
      </x:c>
      <x:c r="B20" s="98" t="n">
        <x:f>'16_玩家成长模拟'!L18</x:f>
        <x:v>1697854.7831599417</x:v>
      </x:c>
      <x:c r="C20" s="98" t="n">
        <x:f>INDEX('02_境界时间轴'!$A$6:$A$17,MATCH("筑基",'02_境界时间轴'!$C$6:$C$17,0))</x:f>
        <x:v>24100</x:v>
      </x:c>
    </x:row>
    <x:row r="23" ht="28" customHeight="1">
      <x:c r="A23" s="19" t="str">
        <x:v>经济方向</x:v>
      </x:c>
      <x:c r="B23" s="20" t="str">
        <x:v>日流量</x:v>
      </x:c>
      <x:c r="C23" s="21" t="str">
        <x:v>目标</x:v>
      </x:c>
    </x:row>
    <x:row r="24">
      <x:c r="A24" t="str">
        <x:v>Faucet</x:v>
      </x:c>
      <x:c r="B24" s="74" t="n">
        <x:f>'15_Faucet_Sink'!B22</x:f>
        <x:v>3360</x:v>
      </x:c>
      <x:c r="C24" t="str">
        <x:v>资源进入</x:v>
      </x:c>
    </x:row>
    <x:row r="25">
      <x:c r="A25" t="str">
        <x:v>Sink</x:v>
      </x:c>
      <x:c r="B25" s="74" t="n">
        <x:f>'15_Faucet_Sink'!B23</x:f>
        <x:v>2906</x:v>
      </x:c>
      <x:c r="C25" t="str">
        <x:v>资源销毁</x:v>
      </x:c>
    </x:row>
    <x:row r="28" ht="28" customHeight="1">
      <x:c r="A28" s="19" t="str">
        <x:v>颜色说明</x:v>
      </x:c>
      <x:c r="B28" s="20" t="str">
        <x:v>含义</x:v>
      </x:c>
      <x:c r="C28" s="21" t="str">
        <x:v>使用方式</x:v>
      </x:c>
    </x:row>
    <x:row r="29">
      <x:c r="A29" s="77" t="str">
        <x:v>黄色</x:v>
      </x:c>
      <x:c r="B29" t="str">
        <x:v>设计假设</x:v>
      </x:c>
      <x:c r="C29" t="str">
        <x:v>策划可编辑</x:v>
      </x:c>
    </x:row>
    <x:row r="30">
      <x:c r="A30" s="74" t="str">
        <x:v>蓝色</x:v>
      </x:c>
      <x:c r="B30" t="str">
        <x:v>计算结果</x:v>
      </x:c>
      <x:c r="C30" t="str">
        <x:v>公式联动</x:v>
      </x:c>
    </x:row>
    <x:row r="31">
      <x:c r="A31" s="75" t="str">
        <x:v>绿色</x:v>
      </x:c>
      <x:c r="B31" t="str">
        <x:v>关键输出</x:v>
      </x:c>
      <x:c r="C31" t="str">
        <x:v>优先观察</x:v>
      </x:c>
    </x:row>
    <x:row r="32">
      <x:c r="A32" s="99" t="str">
        <x:v>灰色</x:v>
      </x:c>
      <x:c r="B32" t="str">
        <x:v>说明/锚点</x:v>
      </x:c>
      <x:c r="C32" t="str">
        <x:v>不参与主要公式</x:v>
      </x:c>
    </x:row>
    <x:row r="35" ht="28" customHeight="1">
      <x:c r="A35" s="19" t="str">
        <x:v>V0.1验证问题</x:v>
      </x:c>
      <x:c r="B35" s="20" t="str">
        <x:v>目标</x:v>
      </x:c>
      <x:c r="C35" s="21" t="str">
        <x:v>观察方式</x:v>
      </x:c>
    </x:row>
    <x:row r="36">
      <x:c r="A36" s="26" t="str">
        <x:v>挂机规划是否有意义</x:v>
      </x:c>
      <x:c r="B36" s="26" t="str">
        <x:v>玩家会主动改变未来8～12小时分配</x:v>
      </x:c>
      <x:c r="C36" s="26" t="str">
        <x:v>比较三种玩家画像结果</x:v>
      </x:c>
    </x:row>
    <x:row r="37">
      <x:c r="A37" s="27" t="str">
        <x:v>在线秘境是否有价值</x:v>
      </x:c>
      <x:c r="B37" s="27" t="str">
        <x:v>约贡献30%成长价值但不垄断修为</x:v>
      </x:c>
      <x:c r="C37" s="27" t="str">
        <x:v>观察主动收益占比</x:v>
      </x:c>
    </x:row>
    <x:row r="38">
      <x:c r="A38" s="28" t="str">
        <x:v>筑基是否像毕业节点</x:v>
      </x:c>
      <x:c r="B38" s="28" t="str">
        <x:v>Day7接近准备、Day7～14完成突破</x:v>
      </x:c>
      <x:c r="C38" s="28" t="str">
        <x:v>调整修为与突破成本</x:v>
      </x:c>
    </x:row>
    <x:row r="40" ht="28" customHeight="1">
      <x:c r="A40" s="19" t="str">
        <x:v>平衡完成度</x:v>
      </x:c>
      <x:c r="B40" s="20" t="str">
        <x:v>结果</x:v>
      </x:c>
      <x:c r="C40" s="21" t="str">
        <x:v>交付状态</x:v>
      </x:c>
    </x:row>
    <x:row r="41">
      <x:c r="A41" t="str">
        <x:v>通过项</x:v>
      </x:c>
      <x:c r="B41" s="74" t="n">
        <x:f>'19_平衡检查'!I6</x:f>
        <x:v>13</x:v>
      </x:c>
      <x:c r="C41" s="75" t="str">
        <x:f>'19_平衡检查'!I9</x:f>
        <x:v>V0.1完成</x:v>
      </x:c>
    </x:row>
    <x:row r="42">
      <x:c r="A42" t="str">
        <x:v>检查项</x:v>
      </x:c>
      <x:c r="B42" s="74" t="n">
        <x:f>'19_平衡检查'!I7</x:f>
        <x:v>0</x:v>
      </x:c>
      <x:c r="C42" s="74" t="str">
        <x:f>'20_版本说明'!B6</x:f>
        <x:v>V0.1 Final</x:v>
      </x:c>
    </x:row>
    <x:row r="43">
      <x:c r="A43" t="str">
        <x:v>通过率</x:v>
      </x:c>
      <x:c r="B43" s="100" t="n">
        <x:f>'19_平衡检查'!I8</x:f>
        <x:v>1</x:v>
      </x:c>
      <x:c r="C43" s="74" t="str">
        <x:f>"公式驱动/可编辑"</x:f>
        <x:v>公式驱动/可编辑</x:v>
      </x:c>
    </x:row>
  </x:sheetData>
  <x:mergeCells>
    <x:mergeCell ref="A1:J1"/>
    <x:mergeCell ref="A2:J3"/>
    <x:mergeCell ref="A5:B5"/>
    <x:mergeCell ref="D5:J5"/>
  </x:mergeCells>
  <x:pageMargins left="0.7" right="0.7" top="0.75" bottom="0.75" header="0.3" footer="0.3"/>
  <x:drawing xmlns:r="http://schemas.openxmlformats.org/officeDocument/2006/relationships" r:id="R0cbcfd84712a45b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6" hidden="0" customWidth="1"/>
    <x:col min="5" max="5" width="48" hidden="0" customWidth="1"/>
  </x:cols>
  <x:sheetData>
    <x:row r="1" ht="30" customHeight="1">
      <x:c r="A1" s="3" t="str">
        <x:v>Numerical Master Sheet V0.1｜核心设计假设</x:v>
      </x:c>
      <x:c r="B1" s="3" t="str">
        <x:v>Numerical Master Sheet V0.1｜核心设计假设</x:v>
      </x:c>
      <x:c r="C1" s="3" t="str">
        <x:v>Numerical Master Sheet V0.1｜核心设计假设</x:v>
      </x:c>
      <x:c r="D1" s="3" t="str">
        <x:v>Numerical Master Sheet V0.1｜核心设计假设</x:v>
      </x:c>
      <x:c r="E1" s="3" t="str">
        <x:v>Numerical Master Sheet V0.1｜核心设计假设</x:v>
      </x:c>
    </x:row>
    <x:row r="2">
      <x:c r="A2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B2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C2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D2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E2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</x:row>
    <x:row r="3">
      <x:c r="A3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B3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C3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D3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  <x:c r="E3" s="7" t="str">
        <x:v>黄色 = 可编辑设计假设；蓝色 = 公式计算；绿色 = 关键输出。修改黄色单元格后，其余工作表应自动联动。V0.1 重点验证凡人→炼气→筑基，以及挂机与在线秘境的双循环。</x:v>
      </x:c>
    </x:row>
    <x:row r="5" ht="28" customHeight="1">
      <x:c r="A5" s="19" t="str">
        <x:v>参数</x:v>
      </x:c>
      <x:c r="B5" s="20" t="str">
        <x:v>数值</x:v>
      </x:c>
      <x:c r="C5" s="20" t="str">
        <x:v>单位</x:v>
      </x:c>
      <x:c r="D5" s="20" t="str">
        <x:v>分类</x:v>
      </x:c>
      <x:c r="E5" s="21" t="str">
        <x:v>设计说明</x:v>
      </x:c>
    </x:row>
    <x:row r="6">
      <x:c r="A6" s="26" t="str">
        <x:v>每小时秒数</x:v>
      </x:c>
      <x:c r="B6" s="29" t="n">
        <x:v>3600</x:v>
      </x:c>
      <x:c r="C6" s="26" t="str">
        <x:v>秒</x:v>
      </x:c>
      <x:c r="D6" s="26" t="str">
        <x:v>系统常量</x:v>
      </x:c>
      <x:c r="E6" s="26" t="str">
        <x:v>公式换算</x:v>
      </x:c>
    </x:row>
    <x:row r="7">
      <x:c r="A7" s="27" t="str">
        <x:v>每天小时数</x:v>
      </x:c>
      <x:c r="B7" s="30" t="n">
        <x:v>24</x:v>
      </x:c>
      <x:c r="C7" s="27" t="str">
        <x:v>小时</x:v>
      </x:c>
      <x:c r="D7" s="27" t="str">
        <x:v>系统常量</x:v>
      </x:c>
      <x:c r="E7" s="27" t="str">
        <x:v>公式换算</x:v>
      </x:c>
    </x:row>
    <x:row r="8">
      <x:c r="A8" s="27" t="str">
        <x:v>每小时分钟数</x:v>
      </x:c>
      <x:c r="B8" s="30" t="n">
        <x:v>60</x:v>
      </x:c>
      <x:c r="C8" s="27" t="str">
        <x:v>分钟</x:v>
      </x:c>
      <x:c r="D8" s="27" t="str">
        <x:v>系统常量</x:v>
      </x:c>
      <x:c r="E8" s="27" t="str">
        <x:v>公式换算</x:v>
      </x:c>
    </x:row>
    <x:row r="9">
      <x:c r="A9" s="27" t="str">
        <x:v>基础离线容量</x:v>
      </x:c>
      <x:c r="B9" s="30" t="n">
        <x:v>10</x:v>
      </x:c>
      <x:c r="C9" s="27" t="str">
        <x:v>小时</x:v>
      </x:c>
      <x:c r="D9" s="27" t="str">
        <x:v>玩家节奏</x:v>
      </x:c>
      <x:c r="E9" s="27" t="str">
        <x:v>早晚各上线一次基本不损失</x:v>
      </x:c>
    </x:row>
    <x:row r="10">
      <x:c r="A10" s="27" t="str">
        <x:v>每日上线次数</x:v>
      </x:c>
      <x:c r="B10" s="30" t="n">
        <x:v>2</x:v>
      </x:c>
      <x:c r="C10" s="27" t="str">
        <x:v>次/日</x:v>
      </x:c>
      <x:c r="D10" s="27" t="str">
        <x:v>主动游玩</x:v>
      </x:c>
      <x:c r="E10" s="27" t="str">
        <x:v>普通目标玩家</x:v>
      </x:c>
    </x:row>
    <x:row r="11">
      <x:c r="A11" s="27" t="str">
        <x:v>单次在线时长</x:v>
      </x:c>
      <x:c r="B11" s="30" t="n">
        <x:v>25</x:v>
      </x:c>
      <x:c r="C11" s="27" t="str">
        <x:v>分钟</x:v>
      </x:c>
      <x:c r="D11" s="27" t="str">
        <x:v>主动游玩</x:v>
      </x:c>
      <x:c r="E11" s="27" t="str">
        <x:v>收取、规划、秘境、处理战利品</x:v>
      </x:c>
    </x:row>
    <x:row r="12">
      <x:c r="A12" s="27" t="str">
        <x:v>挂机有效利用率</x:v>
      </x:c>
      <x:c r="B12" s="32" t="n">
        <x:v>0.8</x:v>
      </x:c>
      <x:c r="C12" s="27" t="str">
        <x:v>%</x:v>
      </x:c>
      <x:c r="D12" s="27" t="str">
        <x:v>玩家节奏</x:v>
      </x:c>
      <x:c r="E12" s="27" t="str">
        <x:v>考虑队列空置与非最优决策</x:v>
      </x:c>
    </x:row>
    <x:row r="13">
      <x:c r="A13" s="27" t="str">
        <x:v>基础修炼修为</x:v>
      </x:c>
      <x:c r="B13" s="30" t="n">
        <x:v>270</x:v>
      </x:c>
      <x:c r="C13" s="27" t="str">
        <x:v>修为/小时</x:v>
      </x:c>
      <x:c r="D13" s="27" t="str">
        <x:v>修为</x:v>
      </x:c>
      <x:c r="E13" s="27" t="str">
        <x:v>校准为Day7炼气大圆满、Day7～14完成突破</x:v>
      </x:c>
    </x:row>
    <x:row r="14">
      <x:c r="A14" s="27" t="str">
        <x:v>标准劳动价值</x:v>
      </x:c>
      <x:c r="B14" s="30" t="n">
        <x:v>100</x:v>
      </x:c>
      <x:c r="C14" s="27" t="str">
        <x:v>灵石/小时</x:v>
      </x:c>
      <x:c r="D14" s="27" t="str">
        <x:v>经济锚</x:v>
      </x:c>
      <x:c r="E14" s="27" t="str">
        <x:v>炼气期基础时间价值</x:v>
      </x:c>
    </x:row>
    <x:row r="15">
      <x:c r="A15" s="27" t="str">
        <x:v>坊市交易税</x:v>
      </x:c>
      <x:c r="B15" s="33" t="n">
        <x:v>0.03</x:v>
      </x:c>
      <x:c r="C15" s="27" t="str">
        <x:v>%</x:v>
      </x:c>
      <x:c r="D15" s="27" t="str">
        <x:v>经济</x:v>
      </x:c>
      <x:c r="E15" s="27" t="str">
        <x:v>普通物品成交税</x:v>
      </x:c>
    </x:row>
    <x:row r="16">
      <x:c r="A16" s="27" t="str">
        <x:v>NPC底价比例</x:v>
      </x:c>
      <x:c r="B16" s="33" t="n">
        <x:v>0.35</x:v>
      </x:c>
      <x:c r="C16" s="27" t="str">
        <x:v>%</x:v>
      </x:c>
      <x:c r="D16" s="27" t="str">
        <x:v>经济</x:v>
      </x:c>
      <x:c r="E16" s="27" t="str">
        <x:v>相对市场基准价</x:v>
      </x:c>
    </x:row>
    <x:row r="17">
      <x:c r="A17" s="27" t="str">
        <x:v>模拟市场价差</x:v>
      </x:c>
      <x:c r="B17" s="33" t="n">
        <x:v>0.08</x:v>
      </x:c>
      <x:c r="C17" s="27" t="str">
        <x:v>%</x:v>
      </x:c>
      <x:c r="D17" s="27" t="str">
        <x:v>经济</x:v>
      </x:c>
      <x:c r="E17" s="27" t="str">
        <x:v>买卖价相对中间价</x:v>
      </x:c>
    </x:row>
    <x:row r="18">
      <x:c r="A18" s="27" t="str">
        <x:v>每级行动速度</x:v>
      </x:c>
      <x:c r="B18" s="33" t="n">
        <x:v>0.004</x:v>
      </x:c>
      <x:c r="C18" s="27" t="str">
        <x:v>%/级</x:v>
      </x:c>
      <x:c r="D18" s="27" t="str">
        <x:v>百艺</x:v>
      </x:c>
      <x:c r="E18" s="27" t="str">
        <x:v>技能等级带来的速度</x:v>
      </x:c>
    </x:row>
    <x:row r="19">
      <x:c r="A19" s="27" t="str">
        <x:v>每级行动效率</x:v>
      </x:c>
      <x:c r="B19" s="33" t="n">
        <x:v>0.006</x:v>
      </x:c>
      <x:c r="C19" s="27" t="str">
        <x:v>%/级</x:v>
      </x:c>
      <x:c r="D19" s="27" t="str">
        <x:v>百艺</x:v>
      </x:c>
      <x:c r="E19" s="27" t="str">
        <x:v>技能等级带来的产量</x:v>
      </x:c>
    </x:row>
    <x:row r="20">
      <x:c r="A20" s="27" t="str">
        <x:v>速度软上限</x:v>
      </x:c>
      <x:c r="B20" s="33" t="n">
        <x:v>1.5</x:v>
      </x:c>
      <x:c r="C20" s="27" t="str">
        <x:v>%</x:v>
      </x:c>
      <x:c r="D20" s="27" t="str">
        <x:v>百艺</x:v>
      </x:c>
      <x:c r="E20" s="27" t="str">
        <x:v>仅限制技能等级部分</x:v>
      </x:c>
    </x:row>
    <x:row r="21">
      <x:c r="A21" s="27" t="str">
        <x:v>效率软上限</x:v>
      </x:c>
      <x:c r="B21" s="33" t="n">
        <x:v>2</x:v>
      </x:c>
      <x:c r="C21" s="27" t="str">
        <x:v>%</x:v>
      </x:c>
      <x:c r="D21" s="27" t="str">
        <x:v>百艺</x:v>
      </x:c>
      <x:c r="E21" s="27" t="str">
        <x:v>仅限制技能等级部分</x:v>
      </x:c>
    </x:row>
    <x:row r="22">
      <x:c r="A22" s="27" t="str">
        <x:v>测试技能等级</x:v>
      </x:c>
      <x:c r="B22" s="30" t="n">
        <x:v>20</x:v>
      </x:c>
      <x:c r="C22" s="27" t="str">
        <x:v>级</x:v>
      </x:c>
      <x:c r="D22" s="27" t="str">
        <x:v>测试场景</x:v>
      </x:c>
      <x:c r="E22" s="27" t="str">
        <x:v>各生产表的统一试算等级</x:v>
      </x:c>
    </x:row>
    <x:row r="23">
      <x:c r="A23" s="27" t="str">
        <x:v>全局珍稀发现</x:v>
      </x:c>
      <x:c r="B23" s="33" t="n">
        <x:v>0.01</x:v>
      </x:c>
      <x:c r="C23" s="27" t="str">
        <x:v>%</x:v>
      </x:c>
      <x:c r="D23" s="27" t="str">
        <x:v>采集</x:v>
      </x:c>
      <x:c r="E23" s="27" t="str">
        <x:v>在基础稀有率上乘算</x:v>
      </x:c>
    </x:row>
    <x:row r="24">
      <x:c r="A24" s="27" t="str">
        <x:v>秘境机会间隔</x:v>
      </x:c>
      <x:c r="B24" s="30" t="n">
        <x:v>12</x:v>
      </x:c>
      <x:c r="C24" s="27" t="str">
        <x:v>小时/次</x:v>
      </x:c>
      <x:c r="D24" s="27" t="str">
        <x:v>主动游玩</x:v>
      </x:c>
      <x:c r="E24" s="27" t="str">
        <x:v>机会可累积，不按日清空</x:v>
      </x:c>
    </x:row>
    <x:row r="25">
      <x:c r="A25" s="27" t="str">
        <x:v>秘境机会储存上限</x:v>
      </x:c>
      <x:c r="B25" s="30" t="n">
        <x:v>6</x:v>
      </x:c>
      <x:c r="C25" s="27" t="str">
        <x:v>次</x:v>
      </x:c>
      <x:c r="D25" s="27" t="str">
        <x:v>主动游玩</x:v>
      </x:c>
      <x:c r="E25" s="27" t="str">
        <x:v>约可保存3天</x:v>
      </x:c>
    </x:row>
    <x:row r="26">
      <x:c r="A26" s="27" t="str">
        <x:v>平均秘境时长</x:v>
      </x:c>
      <x:c r="B26" s="30" t="n">
        <x:v>10</x:v>
      </x:c>
      <x:c r="C26" s="27" t="str">
        <x:v>分钟</x:v>
      </x:c>
      <x:c r="D26" s="27" t="str">
        <x:v>主动游玩</x:v>
      </x:c>
      <x:c r="E26" s="27" t="str">
        <x:v>MVP单次目标</x:v>
      </x:c>
    </x:row>
    <x:row r="27">
      <x:c r="A27" s="27" t="str">
        <x:v>秘境参与率</x:v>
      </x:c>
      <x:c r="B27" s="33" t="n">
        <x:v>0.8</x:v>
      </x:c>
      <x:c r="C27" s="27" t="str">
        <x:v>%</x:v>
      </x:c>
      <x:c r="D27" s="27" t="str">
        <x:v>主动游玩</x:v>
      </x:c>
      <x:c r="E27" s="27" t="str">
        <x:v>普通玩家使用积累机会的比例</x:v>
      </x:c>
    </x:row>
    <x:row r="28">
      <x:c r="A28" s="27" t="str">
        <x:v>秘境基础价值</x:v>
      </x:c>
      <x:c r="B28" s="30" t="n">
        <x:v>500</x:v>
      </x:c>
      <x:c r="C28" s="27" t="str">
        <x:v>灵石等价/次</x:v>
      </x:c>
      <x:c r="D28" s="27" t="str">
        <x:v>主动游玩</x:v>
      </x:c>
      <x:c r="E28" s="27" t="str">
        <x:v>随长期效率倍率代表更高阶秘境与更好配置</x:v>
      </x:c>
    </x:row>
    <x:row r="29">
      <x:c r="A29" s="27" t="str">
        <x:v>秘境基础修为</x:v>
      </x:c>
      <x:c r="B29" s="30" t="n">
        <x:v>300</x:v>
      </x:c>
      <x:c r="C29" s="27" t="str">
        <x:v>修为/次</x:v>
      </x:c>
      <x:c r="D29" s="27" t="str">
        <x:v>主动游玩</x:v>
      </x:c>
      <x:c r="E29" s="27" t="str">
        <x:v>秘境不是主要修为来源</x:v>
      </x:c>
    </x:row>
    <x:row r="30">
      <x:c r="A30" s="27" t="str">
        <x:v>长期效率系数</x:v>
      </x:c>
      <x:c r="B30" s="30" t="n">
        <x:v>0.18</x:v>
      </x:c>
      <x:c r="C30" s="27" t="str">
        <x:v>系数</x:v>
      </x:c>
      <x:c r="D30" s="27" t="str">
        <x:v>长期成长</x:v>
      </x:c>
      <x:c r="E30" s="27" t="str">
        <x:v>用于模拟工具、洞府、Build的对数成长</x:v>
      </x:c>
    </x:row>
    <x:row r="31">
      <x:c r="A31" s="27" t="str">
        <x:v>主动收益占比目标</x:v>
      </x:c>
      <x:c r="B31" s="33" t="n">
        <x:v>0.3</x:v>
      </x:c>
      <x:c r="C31" s="27" t="str">
        <x:v>%</x:v>
      </x:c>
      <x:c r="D31" s="27" t="str">
        <x:v>平衡目标</x:v>
      </x:c>
      <x:c r="E31" s="27" t="str">
        <x:v>总成长价值约70%挂机、30%主动</x:v>
      </x:c>
    </x:row>
    <x:row r="32">
      <x:c r="A32" s="27" t="str">
        <x:v>筑基目标日</x:v>
      </x:c>
      <x:c r="B32" s="34" t="n">
        <x:v>10</x:v>
      </x:c>
      <x:c r="C32" s="27" t="str">
        <x:v>天</x:v>
      </x:c>
      <x:c r="D32" s="27" t="str">
        <x:v>境界</x:v>
      </x:c>
      <x:c r="E32" s="27" t="str">
        <x:v>落在Day7～14区间</x:v>
      </x:c>
    </x:row>
    <x:row r="33">
      <x:c r="A33" s="27" t="str">
        <x:v>常规丹药覆盖率</x:v>
      </x:c>
      <x:c r="B33" s="33" t="n">
        <x:v>0.65</x:v>
      </x:c>
      <x:c r="C33" s="27" t="str">
        <x:v>%</x:v>
      </x:c>
      <x:c r="D33" s="27" t="str">
        <x:v>消耗品</x:v>
      </x:c>
      <x:c r="E33" s="27" t="str">
        <x:v>普通玩家修炼时的覆盖比例</x:v>
      </x:c>
    </x:row>
    <x:row r="34">
      <x:c r="A34" s="27" t="str">
        <x:v>修炼丹加成</x:v>
      </x:c>
      <x:c r="B34" s="33" t="n">
        <x:v>0.25</x:v>
      </x:c>
      <x:c r="C34" s="27" t="str">
        <x:v>%</x:v>
      </x:c>
      <x:c r="D34" s="27" t="str">
        <x:v>消耗品</x:v>
      </x:c>
      <x:c r="E34" s="27" t="str">
        <x:v>聚气丹级别基准</x:v>
      </x:c>
    </x:row>
    <x:row r="35">
      <x:c r="A35" s="27" t="str">
        <x:v>百艺XP基础系数</x:v>
      </x:c>
      <x:c r="B35" s="30" t="n">
        <x:v>20</x:v>
      </x:c>
      <x:c r="C35" s="27" t="str">
        <x:v>XP</x:v>
      </x:c>
      <x:c r="D35" s="27" t="str">
        <x:v>百艺</x:v>
      </x:c>
      <x:c r="E35" s="27" t="str">
        <x:v>等级曲线底数</x:v>
      </x:c>
    </x:row>
    <x:row r="36">
      <x:c r="A36" s="27" t="str">
        <x:v>百艺XP指数</x:v>
      </x:c>
      <x:c r="B36" s="30" t="n">
        <x:v>1.65</x:v>
      </x:c>
      <x:c r="C36" s="27" t="str">
        <x:v>指数</x:v>
      </x:c>
      <x:c r="D36" s="27" t="str">
        <x:v>百艺</x:v>
      </x:c>
      <x:c r="E36" s="27" t="str">
        <x:v>软上限长曲线</x:v>
      </x:c>
    </x:row>
    <x:row r="37">
      <x:c r="A37" s="27" t="str">
        <x:v>小层级XP指数</x:v>
      </x:c>
      <x:c r="B37" s="30" t="n">
        <x:v>1.2</x:v>
      </x:c>
      <x:c r="C37" s="27" t="str">
        <x:v>指数</x:v>
      </x:c>
      <x:c r="D37" s="27" t="str">
        <x:v>修为</x:v>
      </x:c>
      <x:c r="E37" s="27" t="str">
        <x:v>每阶段10个小层级的权重</x:v>
      </x:c>
    </x:row>
    <x:row r="38">
      <x:c r="A38" s="27" t="str">
        <x:v>基础百艺XP/行动</x:v>
      </x:c>
      <x:c r="B38" s="30" t="n">
        <x:v>8</x:v>
      </x:c>
      <x:c r="C38" s="27" t="str">
        <x:v>XP</x:v>
      </x:c>
      <x:c r="D38" s="27" t="str">
        <x:v>百艺</x:v>
      </x:c>
      <x:c r="E38" s="27" t="str">
        <x:v>用于百艺曲线时间估算</x:v>
      </x:c>
    </x:row>
    <x:row r="39">
      <x:c r="A39" s="27" t="str">
        <x:v>战斗补给成本</x:v>
      </x:c>
      <x:c r="B39" s="30" t="n">
        <x:v>12</x:v>
      </x:c>
      <x:c r="C39" s="27" t="str">
        <x:v>灵石/小时</x:v>
      </x:c>
      <x:c r="D39" s="27" t="str">
        <x:v>战斗</x:v>
      </x:c>
      <x:c r="E39" s="27" t="str">
        <x:v>普通历练消耗</x:v>
      </x:c>
    </x:row>
    <x:row r="40">
      <x:c r="A40" s="27" t="str">
        <x:v>均衡修炼时间占比</x:v>
      </x:c>
      <x:c r="B40" s="33" t="n">
        <x:v>0.35</x:v>
      </x:c>
      <x:c r="C40" s="27" t="str">
        <x:v>%</x:v>
      </x:c>
      <x:c r="D40" s="27" t="str">
        <x:v>玩家模拟</x:v>
      </x:c>
      <x:c r="E40" s="27" t="str">
        <x:v>均衡散修的挂机时间分配</x:v>
      </x:c>
    </x:row>
    <x:row r="41">
      <x:c r="A41" s="27" t="str">
        <x:v>炼气条件队列</x:v>
      </x:c>
      <x:c r="B41" s="30" t="str">
        <x:v>否</x:v>
      </x:c>
      <x:c r="C41" s="27" t="str">
        <x:v>是/否</x:v>
      </x:c>
      <x:c r="D41" s="27" t="str">
        <x:v>复杂度</x:v>
      </x:c>
      <x:c r="E41" s="27" t="str">
        <x:v>V0.1：筑基解锁条件队列</x:v>
      </x:c>
    </x:row>
    <x:row r="42">
      <x:c r="A42" s="27" t="str">
        <x:v>筑基条件队列</x:v>
      </x:c>
      <x:c r="B42" s="30" t="str">
        <x:v>是</x:v>
      </x:c>
      <x:c r="C42" s="27" t="str">
        <x:v>是/否</x:v>
      </x:c>
      <x:c r="D42" s="27" t="str">
        <x:v>复杂度</x:v>
      </x:c>
      <x:c r="E42" s="27" t="str">
        <x:v>与本次确认的上线规划循环一致</x:v>
      </x:c>
    </x:row>
    <x:row r="43">
      <x:c r="A43" s="27" t="str">
        <x:v>突破失败损失</x:v>
      </x:c>
      <x:c r="B43" s="30" t="n">
        <x:v>0</x:v>
      </x:c>
      <x:c r="C43" s="27" t="str">
        <x:v>%</x:v>
      </x:c>
      <x:c r="D43" s="27" t="str">
        <x:v>境界</x:v>
      </x:c>
      <x:c r="E43" s="27" t="str">
        <x:v>准备充分后必定成功</x:v>
      </x:c>
    </x:row>
    <x:row r="44">
      <x:c r="A44" s="27" t="str">
        <x:v>V0.1范围</x:v>
      </x:c>
      <x:c r="B44" s="30" t="str">
        <x:v>凡人/炼气/筑基</x:v>
      </x:c>
      <x:c r="C44" s="27" t="str">
        <x:v>文本</x:v>
      </x:c>
      <x:c r="D44" s="27" t="str">
        <x:v>版本</x:v>
      </x:c>
      <x:c r="E44" s="27" t="str">
        <x:v>金丹以后仅保留扩展锚点</x:v>
      </x:c>
    </x:row>
    <x:row r="45">
      <x:c r="A45" s="27" t="str">
        <x:v>采药占采集时间</x:v>
      </x:c>
      <x:c r="B45" s="33" t="n">
        <x:v>0.6</x:v>
      </x:c>
      <x:c r="C45" s="27" t="str">
        <x:v>%</x:v>
      </x:c>
      <x:c r="D45" s="27" t="str">
        <x:v>资源模拟</x:v>
      </x:c>
      <x:c r="E45" s="27" t="str">
        <x:v>其余采集时间默认用于挖矿</x:v>
      </x:c>
    </x:row>
    <x:row r="46">
      <x:c r="A46" s="27" t="str">
        <x:v>突破丹占生产时间</x:v>
      </x:c>
      <x:c r="B46" s="33" t="n">
        <x:v>0.1</x:v>
      </x:c>
      <x:c r="C46" s="27" t="str">
        <x:v>%</x:v>
      </x:c>
      <x:c r="D46" s="27" t="str">
        <x:v>资源模拟</x:v>
      </x:c>
      <x:c r="E46" s="27" t="str">
        <x:v>解锁后用于准备关键突破配方</x:v>
      </x:c>
    </x:row>
    <x:row r="47">
      <x:c r="A47" s="27" t="str">
        <x:v>长期投资Sink比例</x:v>
      </x:c>
      <x:c r="B47" s="33" t="n">
        <x:v>0.35</x:v>
      </x:c>
      <x:c r="C47" s="27" t="str">
        <x:v>%</x:v>
      </x:c>
      <x:c r="D47" s="27" t="str">
        <x:v>经济</x:v>
      </x:c>
      <x:c r="E47" s="27" t="str">
        <x:v>可支配产值投入工具、洞府、淬炼</x:v>
      </x:c>
    </x:row>
    <x:row r="48">
      <x:c r="A48" s="27" t="str">
        <x:v>突破资产覆盖要求</x:v>
      </x:c>
      <x:c r="B48" s="30" t="n">
        <x:v>1</x:v>
      </x:c>
      <x:c r="C48" s="27" t="str">
        <x:v>倍</x:v>
      </x:c>
      <x:c r="D48" s="27" t="str">
        <x:v>境界</x:v>
      </x:c>
      <x:c r="E48" s="27" t="str">
        <x:v>流动资产需覆盖突破经济成本</x:v>
      </x:c>
    </x:row>
    <x:row r="49">
      <x:c r="A49" s="27" t="str">
        <x:v>秘境战力弹性</x:v>
      </x:c>
      <x:c r="B49" s="30" t="n">
        <x:v>0.5</x:v>
      </x:c>
      <x:c r="C49" s="27" t="str">
        <x:v>指数</x:v>
      </x:c>
      <x:c r="D49" s="27" t="str">
        <x:v>主动游玩</x:v>
      </x:c>
      <x:c r="E49" s="27" t="str">
        <x:v>战力相对推荐值对成功率的影响</x:v>
      </x:c>
    </x:row>
    <x:row r="50">
      <x:c r="A50" s="27" t="str">
        <x:v>秘境成功率上限</x:v>
      </x:c>
      <x:c r="B50" s="33" t="n">
        <x:v>0.95</x:v>
      </x:c>
      <x:c r="C50" s="27" t="str">
        <x:v>%</x:v>
      </x:c>
      <x:c r="D50" s="27" t="str">
        <x:v>主动游玩</x:v>
      </x:c>
      <x:c r="E50" s="27" t="str">
        <x:v>保留少量不确定性</x:v>
      </x:c>
    </x:row>
    <x:row r="51">
      <x:c r="A51" s="27" t="str">
        <x:v>秘境成功率下限</x:v>
      </x:c>
      <x:c r="B51" s="33" t="n">
        <x:v>0.2</x:v>
      </x:c>
      <x:c r="C51" s="27" t="str">
        <x:v>%</x:v>
      </x:c>
      <x:c r="D51" s="27" t="str">
        <x:v>主动游玩</x:v>
      </x:c>
      <x:c r="E51" s="27" t="str">
        <x:v>允许越级尝试但效率很低</x:v>
      </x:c>
    </x:row>
    <x:row r="52">
      <x:c r="A52" s="27" t="str">
        <x:v>秘境战略价值系数</x:v>
      </x:c>
      <x:c r="B52" s="30" t="n">
        <x:v>10</x:v>
      </x:c>
      <x:c r="C52" s="27" t="str">
        <x:v>倍</x:v>
      </x:c>
      <x:c r="D52" s="27" t="str">
        <x:v>主动游玩</x:v>
      </x:c>
      <x:c r="E52" s="27" t="str">
        <x:v>计入突破、装备解锁和稀有性的非线性价值</x:v>
      </x:c>
    </x:row>
    <x:row r="53">
      <x:c r="A53" s="27" t="str">
        <x:v>Sink/Faucet下限</x:v>
      </x:c>
      <x:c r="B53" s="33" t="n">
        <x:v>0.75</x:v>
      </x:c>
      <x:c r="C53" s="27" t="str">
        <x:v>%</x:v>
      </x:c>
      <x:c r="D53" s="27" t="str">
        <x:v>平衡目标</x:v>
      </x:c>
      <x:c r="E53" s="27" t="str">
        <x:v>低于此值代表回收偏弱</x:v>
      </x:c>
    </x:row>
    <x:row r="54">
      <x:c r="A54" s="27" t="str">
        <x:v>Sink/Faucet上限</x:v>
      </x:c>
      <x:c r="B54" s="33" t="n">
        <x:v>1</x:v>
      </x:c>
      <x:c r="C54" s="27" t="str">
        <x:v>%</x:v>
      </x:c>
      <x:c r="D54" s="27" t="str">
        <x:v>平衡目标</x:v>
      </x:c>
      <x:c r="E54" s="27" t="str">
        <x:v>高于此值可能导致通缩</x:v>
      </x:c>
    </x:row>
    <x:row r="55">
      <x:c r="A55" s="27" t="str">
        <x:v>主动收益占比下限</x:v>
      </x:c>
      <x:c r="B55" s="33" t="n">
        <x:v>0.25</x:v>
      </x:c>
      <x:c r="C55" s="27" t="str">
        <x:v>%</x:v>
      </x:c>
      <x:c r="D55" s="27" t="str">
        <x:v>平衡目标</x:v>
      </x:c>
      <x:c r="E55" s="27" t="str">
        <x:v>在线玩法必须有价值</x:v>
      </x:c>
    </x:row>
    <x:row r="56">
      <x:c r="A56" s="27" t="str">
        <x:v>主动收益占比上限</x:v>
      </x:c>
      <x:c r="B56" s="33" t="n">
        <x:v>0.35</x:v>
      </x:c>
      <x:c r="C56" s="27" t="str">
        <x:v>%</x:v>
      </x:c>
      <x:c r="D56" s="27" t="str">
        <x:v>平衡目标</x:v>
      </x:c>
      <x:c r="E56" s="27" t="str">
        <x:v>避免在线玩法压倒挂机</x:v>
      </x:c>
    </x:row>
    <x:row r="57">
      <x:c r="A57" s="28" t="str">
        <x:v>每次成功秘境灵髓等价</x:v>
      </x:c>
      <x:c r="B57" s="31" t="n">
        <x:v>0.26</x:v>
      </x:c>
      <x:c r="C57" s="28" t="str">
        <x:v>个</x:v>
      </x:c>
      <x:c r="D57" s="28" t="str">
        <x:v>资源模拟</x:v>
      </x:c>
      <x:c r="E57" s="28" t="str">
        <x:v>校准为Day7开始准备、Day10具备突破条件</x:v>
      </x:c>
    </x:row>
  </x:sheetData>
  <x:mergeCells>
    <x:mergeCell ref="A1:E1"/>
    <x:mergeCell ref="A2:E3"/>
  </x:mergeCells>
  <x:dataValidations count="1">
    <x:dataValidation type="list" sqref="B41:B42">
      <x:formula1>"是,否"</x:formula1>
    </x:dataValidation>
  </x:dataValidations>
  <x:pageMargins left="0.7" right="0.7" top="0.75" bottom="0.75" header="0.3" footer="0.3"/>
  <x:legacyDrawing xmlns:r="http://schemas.openxmlformats.org/officeDocument/2006/relationships" r:id="R1454c1037ab54ed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4" hidden="0" customWidth="1"/>
    <x:col min="5" max="5" width="16" hidden="0" customWidth="1"/>
    <x:col min="6" max="6" width="13" hidden="0" customWidth="1"/>
    <x:col min="7" max="7" width="13" hidden="0" customWidth="1"/>
    <x:col min="8" max="8" width="36" hidden="0" customWidth="1"/>
    <x:col min="9" max="9" width="14" hidden="0" customWidth="1"/>
  </x:cols>
  <x:sheetData>
    <x:row r="1" ht="30" customHeight="1">
      <x:c r="A1" s="3" t="str">
        <x:v>境界时间轴与复杂度解锁</x:v>
      </x:c>
      <x:c r="B1" s="3" t="str">
        <x:v>境界时间轴与复杂度解锁</x:v>
      </x:c>
      <x:c r="C1" s="3" t="str">
        <x:v>境界时间轴与复杂度解锁</x:v>
      </x:c>
      <x:c r="D1" s="3" t="str">
        <x:v>境界时间轴与复杂度解锁</x:v>
      </x:c>
      <x:c r="E1" s="3" t="str">
        <x:v>境界时间轴与复杂度解锁</x:v>
      </x:c>
      <x:c r="F1" s="3" t="str">
        <x:v>境界时间轴与复杂度解锁</x:v>
      </x:c>
      <x:c r="G1" s="3" t="str">
        <x:v>境界时间轴与复杂度解锁</x:v>
      </x:c>
      <x:c r="H1" s="3" t="str">
        <x:v>境界时间轴与复杂度解锁</x:v>
      </x:c>
      <x:c r="I1" s="3" t="str">
        <x:v>境界时间轴与复杂度解锁</x:v>
      </x:c>
    </x:row>
    <x:row r="2">
      <x:c r="A2" s="7" t="str">
        <x:v>阶段修为与目标日期为设计输入；累计起点由公式串联。MVP聚焦筑基，金丹以后仅作为Day90/180/365模拟锚点。</x:v>
      </x:c>
      <x:c r="B2" s="7" t="str">
        <x:v>阶段修为与目标日期为设计输入；累计起点由公式串联。MVP聚焦筑基，金丹以后仅作为Day90/180/365模拟锚点。</x:v>
      </x:c>
      <x:c r="C2" s="7" t="str">
        <x:v>阶段修为与目标日期为设计输入；累计起点由公式串联。MVP聚焦筑基，金丹以后仅作为Day90/180/365模拟锚点。</x:v>
      </x:c>
      <x:c r="D2" s="7" t="str">
        <x:v>阶段修为与目标日期为设计输入；累计起点由公式串联。MVP聚焦筑基，金丹以后仅作为Day90/180/365模拟锚点。</x:v>
      </x:c>
      <x:c r="E2" s="7" t="str">
        <x:v>阶段修为与目标日期为设计输入；累计起点由公式串联。MVP聚焦筑基，金丹以后仅作为Day90/180/365模拟锚点。</x:v>
      </x:c>
      <x:c r="F2" s="7" t="str">
        <x:v>阶段修为与目标日期为设计输入；累计起点由公式串联。MVP聚焦筑基，金丹以后仅作为Day90/180/365模拟锚点。</x:v>
      </x:c>
      <x:c r="G2" s="7" t="str">
        <x:v>阶段修为与目标日期为设计输入；累计起点由公式串联。MVP聚焦筑基，金丹以后仅作为Day90/180/365模拟锚点。</x:v>
      </x:c>
      <x:c r="H2" s="7" t="str">
        <x:v>阶段修为与目标日期为设计输入；累计起点由公式串联。MVP聚焦筑基，金丹以后仅作为Day90/180/365模拟锚点。</x:v>
      </x:c>
      <x:c r="I2" s="7" t="str">
        <x:v>阶段修为与目标日期为设计输入；累计起点由公式串联。MVP聚焦筑基，金丹以后仅作为Day90/180/365模拟锚点。</x:v>
      </x:c>
    </x:row>
    <x:row r="3">
      <x:c r="A3" s="7" t="str">
        <x:v>阶段修为与目标日期为设计输入；累计起点由公式串联。MVP聚焦筑基，金丹以后仅作为Day90/180/365模拟锚点。</x:v>
      </x:c>
      <x:c r="B3" s="7" t="str">
        <x:v>阶段修为与目标日期为设计输入；累计起点由公式串联。MVP聚焦筑基，金丹以后仅作为Day90/180/365模拟锚点。</x:v>
      </x:c>
      <x:c r="C3" s="7" t="str">
        <x:v>阶段修为与目标日期为设计输入；累计起点由公式串联。MVP聚焦筑基，金丹以后仅作为Day90/180/365模拟锚点。</x:v>
      </x:c>
      <x:c r="D3" s="7" t="str">
        <x:v>阶段修为与目标日期为设计输入；累计起点由公式串联。MVP聚焦筑基，金丹以后仅作为Day90/180/365模拟锚点。</x:v>
      </x:c>
      <x:c r="E3" s="7" t="str">
        <x:v>阶段修为与目标日期为设计输入；累计起点由公式串联。MVP聚焦筑基，金丹以后仅作为Day90/180/365模拟锚点。</x:v>
      </x:c>
      <x:c r="F3" s="7" t="str">
        <x:v>阶段修为与目标日期为设计输入；累计起点由公式串联。MVP聚焦筑基，金丹以后仅作为Day90/180/365模拟锚点。</x:v>
      </x:c>
      <x:c r="G3" s="7" t="str">
        <x:v>阶段修为与目标日期为设计输入；累计起点由公式串联。MVP聚焦筑基，金丹以后仅作为Day90/180/365模拟锚点。</x:v>
      </x:c>
      <x:c r="H3" s="7" t="str">
        <x:v>阶段修为与目标日期为设计输入；累计起点由公式串联。MVP聚焦筑基，金丹以后仅作为Day90/180/365模拟锚点。</x:v>
      </x:c>
      <x:c r="I3" s="7" t="str">
        <x:v>阶段修为与目标日期为设计输入；累计起点由公式串联。MVP聚焦筑基，金丹以后仅作为Day90/180/365模拟锚点。</x:v>
      </x:c>
    </x:row>
    <x:row r="5" ht="28" customHeight="1">
      <x:c r="A5" s="19" t="str">
        <x:v>累计起点修为</x:v>
      </x:c>
      <x:c r="B5" s="20" t="str">
        <x:v>阶段</x:v>
      </x:c>
      <x:c r="C5" s="20" t="str">
        <x:v>境界</x:v>
      </x:c>
      <x:c r="D5" s="20" t="str">
        <x:v>内部阶段</x:v>
      </x:c>
      <x:c r="E5" s="20" t="str">
        <x:v>阶段所需修为</x:v>
      </x:c>
      <x:c r="F5" s="20" t="str">
        <x:v>目标开始日</x:v>
      </x:c>
      <x:c r="G5" s="20" t="str">
        <x:v>目标结束日</x:v>
      </x:c>
      <x:c r="H5" s="20" t="str">
        <x:v>核心解锁</x:v>
      </x:c>
      <x:c r="I5" s="21" t="str">
        <x:v>范围</x:v>
      </x:c>
    </x:row>
    <x:row r="6">
      <x:c r="A6" s="45" t="n">
        <x:v>0</x:v>
      </x:c>
      <x:c r="B6" s="29" t="str">
        <x:v>凡人入门</x:v>
      </x:c>
      <x:c r="C6" s="29" t="str">
        <x:v>凡人</x:v>
      </x:c>
      <x:c r="D6" s="29" t="str">
        <x:v>入门</x:v>
      </x:c>
      <x:c r="E6" s="49" t="n">
        <x:v>100</x:v>
      </x:c>
      <x:c r="F6" s="52" t="n">
        <x:v>0</x:v>
      </x:c>
      <x:c r="G6" s="52" t="n">
        <x:v>0.02</x:v>
      </x:c>
      <x:c r="H6" s="29" t="str">
        <x:v>修炼/采药/1槽闭关</x:v>
      </x:c>
      <x:c r="I6" s="29" t="str">
        <x:v>MVP</x:v>
      </x:c>
    </x:row>
    <x:row r="7">
      <x:c r="A7" s="46" t="n">
        <x:f>A6+E6</x:f>
        <x:v>100</x:v>
      </x:c>
      <x:c r="B7" s="30" t="str">
        <x:v>炼气初期</x:v>
      </x:c>
      <x:c r="C7" s="30" t="str">
        <x:v>炼气</x:v>
      </x:c>
      <x:c r="D7" s="30" t="str">
        <x:v>初期</x:v>
      </x:c>
      <x:c r="E7" s="50" t="n">
        <x:v>2000</x:v>
      </x:c>
      <x:c r="F7" s="34" t="n">
        <x:v>0.02</x:v>
      </x:c>
      <x:c r="G7" s="34" t="n">
        <x:v>1</x:v>
      </x:c>
      <x:c r="H7" s="30" t="str">
        <x:v>炼丹/基础坊市/2槽闭关</x:v>
      </x:c>
      <x:c r="I7" s="30" t="str">
        <x:v>MVP</x:v>
      </x:c>
    </x:row>
    <x:row r="8">
      <x:c r="A8" s="46" t="n">
        <x:f>A7+E7</x:f>
        <x:v>2100</x:v>
      </x:c>
      <x:c r="B8" s="30" t="str">
        <x:v>炼气中期</x:v>
      </x:c>
      <x:c r="C8" s="30" t="str">
        <x:v>炼气</x:v>
      </x:c>
      <x:c r="D8" s="30" t="str">
        <x:v>中期</x:v>
      </x:c>
      <x:c r="E8" s="50" t="n">
        <x:v>5000</x:v>
      </x:c>
      <x:c r="F8" s="34" t="n">
        <x:v>1</x:v>
      </x:c>
      <x:c r="G8" s="34" t="n">
        <x:v>3</x:v>
      </x:c>
      <x:c r="H8" s="30" t="str">
        <x:v>挖矿/基础炼器</x:v>
      </x:c>
      <x:c r="I8" s="30" t="str">
        <x:v>MVP</x:v>
      </x:c>
    </x:row>
    <x:row r="9">
      <x:c r="A9" s="46" t="n">
        <x:f>A8+E8</x:f>
        <x:v>7100</x:v>
      </x:c>
      <x:c r="B9" s="30" t="str">
        <x:v>炼气后期</x:v>
      </x:c>
      <x:c r="C9" s="30" t="str">
        <x:v>炼气</x:v>
      </x:c>
      <x:c r="D9" s="30" t="str">
        <x:v>后期</x:v>
      </x:c>
      <x:c r="E9" s="50" t="n">
        <x:v>8000</x:v>
      </x:c>
      <x:c r="F9" s="34" t="n">
        <x:v>3</x:v>
      </x:c>
      <x:c r="G9" s="34" t="n">
        <x:v>7</x:v>
      </x:c>
      <x:c r="H9" s="30" t="str">
        <x:v>普通历练/淬炼</x:v>
      </x:c>
      <x:c r="I9" s="30" t="str">
        <x:v>MVP</x:v>
      </x:c>
    </x:row>
    <x:row r="10">
      <x:c r="A10" s="47" t="n">
        <x:f>A9+E9</x:f>
        <x:v>15100</x:v>
      </x:c>
      <x:c r="B10" s="44" t="str">
        <x:v>炼气大圆满</x:v>
      </x:c>
      <x:c r="C10" s="44" t="str">
        <x:v>炼气</x:v>
      </x:c>
      <x:c r="D10" s="44" t="str">
        <x:v>大圆满</x:v>
      </x:c>
      <x:c r="E10" s="47" t="n">
        <x:v>9000</x:v>
      </x:c>
      <x:c r="F10" s="53" t="n">
        <x:v>7</x:v>
      </x:c>
      <x:c r="G10" s="53" t="n">
        <x:v>10</x:v>
      </x:c>
      <x:c r="H10" s="44" t="str">
        <x:v>筑基准备/秘境体验</x:v>
      </x:c>
      <x:c r="I10" s="44" t="str">
        <x:v>MVP</x:v>
      </x:c>
    </x:row>
    <x:row r="11">
      <x:c r="A11" s="46" t="n">
        <x:f>A10+E10</x:f>
        <x:v>24100</x:v>
      </x:c>
      <x:c r="B11" s="30" t="str">
        <x:v>筑基初期</x:v>
      </x:c>
      <x:c r="C11" s="30" t="str">
        <x:v>筑基</x:v>
      </x:c>
      <x:c r="D11" s="30" t="str">
        <x:v>初期</x:v>
      </x:c>
      <x:c r="E11" s="50" t="n">
        <x:v>35000</x:v>
      </x:c>
      <x:c r="F11" s="34" t="n">
        <x:v>10</x:v>
      </x:c>
      <x:c r="G11" s="34" t="n">
        <x:v>30</x:v>
      </x:c>
      <x:c r="H11" s="30" t="str">
        <x:v>条件队列/正式秘境/二阶百艺</x:v>
      </x:c>
      <x:c r="I11" s="30" t="str">
        <x:v>MVP Endgame</x:v>
      </x:c>
    </x:row>
    <x:row r="12">
      <x:c r="A12" s="46" t="n">
        <x:f>A11+E11</x:f>
        <x:v>59100</x:v>
      </x:c>
      <x:c r="B12" s="30" t="str">
        <x:v>筑基中期</x:v>
      </x:c>
      <x:c r="C12" s="30" t="str">
        <x:v>筑基</x:v>
      </x:c>
      <x:c r="D12" s="30" t="str">
        <x:v>中期</x:v>
      </x:c>
      <x:c r="E12" s="50" t="n">
        <x:v>45000</x:v>
      </x:c>
      <x:c r="F12" s="34" t="n">
        <x:v>30</x:v>
      </x:c>
      <x:c r="G12" s="34" t="n">
        <x:v>55</x:v>
      </x:c>
      <x:c r="H12" s="30" t="str">
        <x:v>洞府升级/Build专业化</x:v>
      </x:c>
      <x:c r="I12" s="30" t="str">
        <x:v>MVP Endgame</x:v>
      </x:c>
    </x:row>
    <x:row r="13">
      <x:c r="A13" s="46" t="n">
        <x:f>A12+E12</x:f>
        <x:v>104100</x:v>
      </x:c>
      <x:c r="B13" s="30" t="str">
        <x:v>筑基后期</x:v>
      </x:c>
      <x:c r="C13" s="30" t="str">
        <x:v>筑基</x:v>
      </x:c>
      <x:c r="D13" s="30" t="str">
        <x:v>后期</x:v>
      </x:c>
      <x:c r="E13" s="50" t="n">
        <x:v>50000</x:v>
      </x:c>
      <x:c r="F13" s="34" t="n">
        <x:v>55</x:v>
      </x:c>
      <x:c r="G13" s="34" t="n">
        <x:v>80</x:v>
      </x:c>
      <x:c r="H13" s="30" t="str">
        <x:v>高级秘境/宗门锚点</x:v>
      </x:c>
      <x:c r="I13" s="30" t="str">
        <x:v>扩展</x:v>
      </x:c>
    </x:row>
    <x:row r="14">
      <x:c r="A14" s="46" t="n">
        <x:f>A13+E13</x:f>
        <x:v>154100</x:v>
      </x:c>
      <x:c r="B14" s="30" t="str">
        <x:v>筑基大圆满</x:v>
      </x:c>
      <x:c r="C14" s="30" t="str">
        <x:v>筑基</x:v>
      </x:c>
      <x:c r="D14" s="30" t="str">
        <x:v>大圆满</x:v>
      </x:c>
      <x:c r="E14" s="50" t="n">
        <x:v>25900</x:v>
      </x:c>
      <x:c r="F14" s="34" t="n">
        <x:v>80</x:v>
      </x:c>
      <x:c r="G14" s="34" t="n">
        <x:v>90</x:v>
      </x:c>
      <x:c r="H14" s="30" t="str">
        <x:v>金丹准备</x:v>
      </x:c>
      <x:c r="I14" s="30" t="str">
        <x:v>扩展</x:v>
      </x:c>
    </x:row>
    <x:row r="15">
      <x:c r="A15" s="46" t="n">
        <x:f>A14+E14</x:f>
        <x:v>180000</x:v>
      </x:c>
      <x:c r="B15" s="30" t="str">
        <x:v>金丹</x:v>
      </x:c>
      <x:c r="C15" s="30" t="str">
        <x:v>金丹</x:v>
      </x:c>
      <x:c r="D15" s="30" t="str">
        <x:v>完整阶段</x:v>
      </x:c>
      <x:c r="E15" s="50" t="n">
        <x:v>370000</x:v>
      </x:c>
      <x:c r="F15" s="34" t="n">
        <x:v>90</x:v>
      </x:c>
      <x:c r="G15" s="34" t="n">
        <x:v>180</x:v>
      </x:c>
      <x:c r="H15" s="30" t="str">
        <x:v>市场深度/洞府专精</x:v>
      </x:c>
      <x:c r="I15" s="30" t="str">
        <x:v>扩展锚点</x:v>
      </x:c>
    </x:row>
    <x:row r="16">
      <x:c r="A16" s="46" t="n">
        <x:f>A15+E15</x:f>
        <x:v>550000</x:v>
      </x:c>
      <x:c r="B16" s="30" t="str">
        <x:v>元婴</x:v>
      </x:c>
      <x:c r="C16" s="30" t="str">
        <x:v>元婴</x:v>
      </x:c>
      <x:c r="D16" s="30" t="str">
        <x:v>完整阶段</x:v>
      </x:c>
      <x:c r="E16" s="50" t="n">
        <x:v>750000</x:v>
      </x:c>
      <x:c r="F16" s="34" t="n">
        <x:v>180</x:v>
      </x:c>
      <x:c r="G16" s="34" t="n">
        <x:v>365</x:v>
      </x:c>
      <x:c r="H16" s="30" t="str">
        <x:v>分身/高级自动化</x:v>
      </x:c>
      <x:c r="I16" s="30" t="str">
        <x:v>扩展锚点</x:v>
      </x:c>
    </x:row>
    <x:row r="17">
      <x:c r="A17" s="48" t="n">
        <x:f>A16+E16</x:f>
        <x:v>1300000</x:v>
      </x:c>
      <x:c r="B17" s="31" t="str">
        <x:v>化神</x:v>
      </x:c>
      <x:c r="C17" s="31" t="str">
        <x:v>化神</x:v>
      </x:c>
      <x:c r="D17" s="31" t="str">
        <x:v>首版Endgame</x:v>
      </x:c>
      <x:c r="E17" s="51" t="n">
        <x:v>1200000</x:v>
      </x:c>
      <x:c r="F17" s="54" t="n">
        <x:v>365</x:v>
      </x:c>
      <x:c r="G17" s="54" t="n">
        <x:v>730</x:v>
      </x:c>
      <x:c r="H17" s="31" t="str">
        <x:v>宗门深度/长期收藏</x:v>
      </x:c>
      <x:c r="I17" s="31" t="str">
        <x:v>扩展锚点</x:v>
      </x:c>
    </x:row>
  </x:sheetData>
  <x:mergeCells>
    <x:mergeCell ref="A1:I1"/>
    <x:mergeCell ref="A2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0" hidden="0" customWidth="1"/>
    <x:col min="5" max="5" width="11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</x:cols>
  <x:sheetData>
    <x:row r="1" ht="30" customHeight="1">
      <x:c r="A1" s="3" t="str">
        <x:v>修为XP曲线（境界阶段 × 小层级）</x:v>
      </x:c>
      <x:c r="B1" s="3" t="str">
        <x:v>修为XP曲线（境界阶段 × 小层级）</x:v>
      </x:c>
      <x:c r="C1" s="3" t="str">
        <x:v>修为XP曲线（境界阶段 × 小层级）</x:v>
      </x:c>
      <x:c r="D1" s="3" t="str">
        <x:v>修为XP曲线（境界阶段 × 小层级）</x:v>
      </x:c>
      <x:c r="E1" s="3" t="str">
        <x:v>修为XP曲线（境界阶段 × 小层级）</x:v>
      </x:c>
      <x:c r="F1" s="3" t="str">
        <x:v>修为XP曲线（境界阶段 × 小层级）</x:v>
      </x:c>
      <x:c r="G1" s="3" t="str">
        <x:v>修为XP曲线（境界阶段 × 小层级）</x:v>
      </x:c>
      <x:c r="H1" s="3" t="str">
        <x:v>修为XP曲线（境界阶段 × 小层级）</x:v>
      </x:c>
      <x:c r="I1" s="3" t="str">
        <x:v>修为XP曲线（境界阶段 × 小层级）</x:v>
      </x:c>
      <x:c r="J1" s="3" t="str">
        <x:v>修为XP曲线（境界阶段 × 小层级）</x:v>
      </x:c>
    </x:row>
    <x:row r="2">
      <x:c r="A2" s="7" t="str">
        <x:v>每个境界阶段拆成10个小层级，阶段总修为取自境界时间轴，内部按指数权重分配。蓝色区域全部公式联动。</x:v>
      </x:c>
      <x:c r="B2" s="7" t="str">
        <x:v>每个境界阶段拆成10个小层级，阶段总修为取自境界时间轴，内部按指数权重分配。蓝色区域全部公式联动。</x:v>
      </x:c>
      <x:c r="C2" s="7" t="str">
        <x:v>每个境界阶段拆成10个小层级，阶段总修为取自境界时间轴，内部按指数权重分配。蓝色区域全部公式联动。</x:v>
      </x:c>
      <x:c r="D2" s="7" t="str">
        <x:v>每个境界阶段拆成10个小层级，阶段总修为取自境界时间轴，内部按指数权重分配。蓝色区域全部公式联动。</x:v>
      </x:c>
      <x:c r="E2" s="7" t="str">
        <x:v>每个境界阶段拆成10个小层级，阶段总修为取自境界时间轴，内部按指数权重分配。蓝色区域全部公式联动。</x:v>
      </x:c>
      <x:c r="F2" s="7" t="str">
        <x:v>每个境界阶段拆成10个小层级，阶段总修为取自境界时间轴，内部按指数权重分配。蓝色区域全部公式联动。</x:v>
      </x:c>
      <x:c r="G2" s="7" t="str">
        <x:v>每个境界阶段拆成10个小层级，阶段总修为取自境界时间轴，内部按指数权重分配。蓝色区域全部公式联动。</x:v>
      </x:c>
      <x:c r="H2" s="7" t="str">
        <x:v>每个境界阶段拆成10个小层级，阶段总修为取自境界时间轴，内部按指数权重分配。蓝色区域全部公式联动。</x:v>
      </x:c>
      <x:c r="I2" s="7" t="str">
        <x:v>每个境界阶段拆成10个小层级，阶段总修为取自境界时间轴，内部按指数权重分配。蓝色区域全部公式联动。</x:v>
      </x:c>
      <x:c r="J2" s="7" t="str">
        <x:v>每个境界阶段拆成10个小层级，阶段总修为取自境界时间轴，内部按指数权重分配。蓝色区域全部公式联动。</x:v>
      </x:c>
    </x:row>
    <x:row r="3">
      <x:c r="A3" s="7" t="str">
        <x:v>每个境界阶段拆成10个小层级，阶段总修为取自境界时间轴，内部按指数权重分配。蓝色区域全部公式联动。</x:v>
      </x:c>
      <x:c r="B3" s="7" t="str">
        <x:v>每个境界阶段拆成10个小层级，阶段总修为取自境界时间轴，内部按指数权重分配。蓝色区域全部公式联动。</x:v>
      </x:c>
      <x:c r="C3" s="7" t="str">
        <x:v>每个境界阶段拆成10个小层级，阶段总修为取自境界时间轴，内部按指数权重分配。蓝色区域全部公式联动。</x:v>
      </x:c>
      <x:c r="D3" s="7" t="str">
        <x:v>每个境界阶段拆成10个小层级，阶段总修为取自境界时间轴，内部按指数权重分配。蓝色区域全部公式联动。</x:v>
      </x:c>
      <x:c r="E3" s="7" t="str">
        <x:v>每个境界阶段拆成10个小层级，阶段总修为取自境界时间轴，内部按指数权重分配。蓝色区域全部公式联动。</x:v>
      </x:c>
      <x:c r="F3" s="7" t="str">
        <x:v>每个境界阶段拆成10个小层级，阶段总修为取自境界时间轴，内部按指数权重分配。蓝色区域全部公式联动。</x:v>
      </x:c>
      <x:c r="G3" s="7" t="str">
        <x:v>每个境界阶段拆成10个小层级，阶段总修为取自境界时间轴，内部按指数权重分配。蓝色区域全部公式联动。</x:v>
      </x:c>
      <x:c r="H3" s="7" t="str">
        <x:v>每个境界阶段拆成10个小层级，阶段总修为取自境界时间轴，内部按指数权重分配。蓝色区域全部公式联动。</x:v>
      </x:c>
      <x:c r="I3" s="7" t="str">
        <x:v>每个境界阶段拆成10个小层级，阶段总修为取自境界时间轴，内部按指数权重分配。蓝色区域全部公式联动。</x:v>
      </x:c>
      <x:c r="J3" s="7" t="str">
        <x:v>每个境界阶段拆成10个小层级，阶段总修为取自境界时间轴，内部按指数权重分配。蓝色区域全部公式联动。</x:v>
      </x:c>
    </x:row>
    <x:row r="5" ht="28" customHeight="1">
      <x:c r="A5" s="19" t="str">
        <x:v>阶段序号</x:v>
      </x:c>
      <x:c r="B5" s="20" t="str">
        <x:v>阶段</x:v>
      </x:c>
      <x:c r="C5" s="20" t="str">
        <x:v>境界</x:v>
      </x:c>
      <x:c r="D5" s="20" t="str">
        <x:v>小层级</x:v>
      </x:c>
      <x:c r="E5" s="20" t="str">
        <x:v>权重</x:v>
      </x:c>
      <x:c r="F5" s="20" t="str">
        <x:v>阶段总修为</x:v>
      </x:c>
      <x:c r="G5" s="20" t="str">
        <x:v>本层所需修为</x:v>
      </x:c>
      <x:c r="H5" s="20" t="str">
        <x:v>累计修为终点</x:v>
      </x:c>
      <x:c r="I5" s="20" t="str">
        <x:v>基准修炼小时</x:v>
      </x:c>
      <x:c r="J5" s="21" t="str">
        <x:v>范围</x:v>
      </x:c>
    </x:row>
    <x:row r="6">
      <x:c r="A6" s="29" t="n">
        <x:v>1</x:v>
      </x:c>
      <x:c r="B6" s="35" t="str">
        <x:f>INDEX('02_境界时间轴'!$B$6:$B$17,A6)</x:f>
        <x:v>凡人入门</x:v>
      </x:c>
      <x:c r="C6" s="35" t="str">
        <x:f>INDEX('02_境界时间轴'!$C$6:$C$17,A6)</x:f>
        <x:v>凡人</x:v>
      </x:c>
      <x:c r="D6" s="29" t="n">
        <x:v>1</x:v>
      </x:c>
      <x:c r="E6" s="45" t="n">
        <x:f>POWER(D6,'01_核心假设'!$B$37)</x:f>
        <x:v>1</x:v>
      </x:c>
      <x:c r="F6" s="45" t="n">
        <x:f>INDEX('02_境界时间轴'!$E$6:$E$17,A6)</x:f>
        <x:v>100</x:v>
      </x:c>
      <x:c r="G6" s="45" t="n">
        <x:f>ROUND(F6*E6/SUM($E$6:$E$15),0)</x:f>
        <x:v>1</x:v>
      </x:c>
      <x:c r="H6" s="45" t="n">
        <x:f>G6</x:f>
        <x:v>1</x:v>
      </x:c>
      <x:c r="I6" s="55" t="n">
        <x:f>G6/'01_核心假设'!$B$13</x:f>
        <x:v>0.003703703703703704</x:v>
      </x:c>
      <x:c r="J6" s="35" t="str">
        <x:f>INDEX('02_境界时间轴'!$I$6:$I$17,A6)</x:f>
        <x:v>MVP</x:v>
      </x:c>
    </x:row>
    <x:row r="7">
      <x:c r="A7" s="30" t="n">
        <x:v>1</x:v>
      </x:c>
      <x:c r="B7" s="36" t="str">
        <x:f>INDEX('02_境界时间轴'!$B$6:$B$17,A7)</x:f>
        <x:v>凡人入门</x:v>
      </x:c>
      <x:c r="C7" s="36" t="str">
        <x:f>INDEX('02_境界时间轴'!$C$6:$C$17,A7)</x:f>
        <x:v>凡人</x:v>
      </x:c>
      <x:c r="D7" s="30" t="n">
        <x:v>2</x:v>
      </x:c>
      <x:c r="E7" s="46" t="n">
        <x:f>POWER(D7,'01_核心假设'!$B$37)</x:f>
        <x:v>2.2973967099940698</x:v>
      </x:c>
      <x:c r="F7" s="46" t="n">
        <x:f>INDEX('02_境界时间轴'!$E$6:$E$17,A7)</x:f>
        <x:v>100</x:v>
      </x:c>
      <x:c r="G7" s="46" t="n">
        <x:f>ROUND(F7*E7/SUM($E$6:$E$15),0)</x:f>
        <x:v>3</x:v>
      </x:c>
      <x:c r="H7" s="46" t="n">
        <x:f>H6+G7</x:f>
        <x:v>4</x:v>
      </x:c>
      <x:c r="I7" s="56" t="n">
        <x:f>G7/'01_核心假设'!$B$13</x:f>
        <x:v>0.011111111111111112</x:v>
      </x:c>
      <x:c r="J7" s="36" t="str">
        <x:f>INDEX('02_境界时间轴'!$I$6:$I$17,A7)</x:f>
        <x:v>MVP</x:v>
      </x:c>
    </x:row>
    <x:row r="8">
      <x:c r="A8" s="30" t="n">
        <x:v>1</x:v>
      </x:c>
      <x:c r="B8" s="36" t="str">
        <x:f>INDEX('02_境界时间轴'!$B$6:$B$17,A8)</x:f>
        <x:v>凡人入门</x:v>
      </x:c>
      <x:c r="C8" s="36" t="str">
        <x:f>INDEX('02_境界时间轴'!$C$6:$C$17,A8)</x:f>
        <x:v>凡人</x:v>
      </x:c>
      <x:c r="D8" s="30" t="n">
        <x:v>3</x:v>
      </x:c>
      <x:c r="E8" s="46" t="n">
        <x:f>POWER(D8,'01_核心假设'!$B$37)</x:f>
        <x:v>3.7371928188465517</x:v>
      </x:c>
      <x:c r="F8" s="46" t="n">
        <x:f>INDEX('02_境界时间轴'!$E$6:$E$17,A8)</x:f>
        <x:v>100</x:v>
      </x:c>
      <x:c r="G8" s="46" t="n">
        <x:f>ROUND(F8*E8/SUM($E$6:$E$15),0)</x:f>
        <x:v>5</x:v>
      </x:c>
      <x:c r="H8" s="46" t="n">
        <x:f>H7+G8</x:f>
        <x:v>9</x:v>
      </x:c>
      <x:c r="I8" s="56" t="n">
        <x:f>G8/'01_核心假设'!$B$13</x:f>
        <x:v>0.018518518518518517</x:v>
      </x:c>
      <x:c r="J8" s="36" t="str">
        <x:f>INDEX('02_境界时间轴'!$I$6:$I$17,A8)</x:f>
        <x:v>MVP</x:v>
      </x:c>
    </x:row>
    <x:row r="9">
      <x:c r="A9" s="30" t="n">
        <x:v>1</x:v>
      </x:c>
      <x:c r="B9" s="36" t="str">
        <x:f>INDEX('02_境界时间轴'!$B$6:$B$17,A9)</x:f>
        <x:v>凡人入门</x:v>
      </x:c>
      <x:c r="C9" s="36" t="str">
        <x:f>INDEX('02_境界时间轴'!$C$6:$C$17,A9)</x:f>
        <x:v>凡人</x:v>
      </x:c>
      <x:c r="D9" s="30" t="n">
        <x:v>4</x:v>
      </x:c>
      <x:c r="E9" s="46" t="n">
        <x:f>POWER(D9,'01_核心假设'!$B$37)</x:f>
        <x:v>5.278031643091577</x:v>
      </x:c>
      <x:c r="F9" s="46" t="n">
        <x:f>INDEX('02_境界时间轴'!$E$6:$E$17,A9)</x:f>
        <x:v>100</x:v>
      </x:c>
      <x:c r="G9" s="46" t="n">
        <x:f>ROUND(F9*E9/SUM($E$6:$E$15),0)</x:f>
        <x:v>7</x:v>
      </x:c>
      <x:c r="H9" s="46" t="n">
        <x:f>H8+G9</x:f>
        <x:v>16</x:v>
      </x:c>
      <x:c r="I9" s="56" t="n">
        <x:f>G9/'01_核心假设'!$B$13</x:f>
        <x:v>0.025925925925925925</x:v>
      </x:c>
      <x:c r="J9" s="36" t="str">
        <x:f>INDEX('02_境界时间轴'!$I$6:$I$17,A9)</x:f>
        <x:v>MVP</x:v>
      </x:c>
    </x:row>
    <x:row r="10">
      <x:c r="A10" s="30" t="n">
        <x:v>1</x:v>
      </x:c>
      <x:c r="B10" s="36" t="str">
        <x:f>INDEX('02_境界时间轴'!$B$6:$B$17,A10)</x:f>
        <x:v>凡人入门</x:v>
      </x:c>
      <x:c r="C10" s="36" t="str">
        <x:f>INDEX('02_境界时间轴'!$C$6:$C$17,A10)</x:f>
        <x:v>凡人</x:v>
      </x:c>
      <x:c r="D10" s="30" t="n">
        <x:v>5</x:v>
      </x:c>
      <x:c r="E10" s="46" t="n">
        <x:f>POWER(D10,'01_核心假设'!$B$37)</x:f>
        <x:v>6.898648307306074</x:v>
      </x:c>
      <x:c r="F10" s="46" t="n">
        <x:f>INDEX('02_境界时间轴'!$E$6:$E$17,A10)</x:f>
        <x:v>100</x:v>
      </x:c>
      <x:c r="G10" s="46" t="n">
        <x:f>ROUND(F10*E10/SUM($E$6:$E$15),0)</x:f>
        <x:v>9</x:v>
      </x:c>
      <x:c r="H10" s="46" t="n">
        <x:f>H9+G10</x:f>
        <x:v>25</x:v>
      </x:c>
      <x:c r="I10" s="56" t="n">
        <x:f>G10/'01_核心假设'!$B$13</x:f>
        <x:v>0.03333333333333333</x:v>
      </x:c>
      <x:c r="J10" s="36" t="str">
        <x:f>INDEX('02_境界时间轴'!$I$6:$I$17,A10)</x:f>
        <x:v>MVP</x:v>
      </x:c>
    </x:row>
    <x:row r="11">
      <x:c r="A11" s="30" t="n">
        <x:v>1</x:v>
      </x:c>
      <x:c r="B11" s="36" t="str">
        <x:f>INDEX('02_境界时间轴'!$B$6:$B$17,A11)</x:f>
        <x:v>凡人入门</x:v>
      </x:c>
      <x:c r="C11" s="36" t="str">
        <x:f>INDEX('02_境界时间轴'!$C$6:$C$17,A11)</x:f>
        <x:v>凡人</x:v>
      </x:c>
      <x:c r="D11" s="30" t="n">
        <x:v>6</x:v>
      </x:c>
      <x:c r="E11" s="46" t="n">
        <x:f>POWER(D11,'01_核心假设'!$B$37)</x:f>
        <x:v>8.585814486631532</x:v>
      </x:c>
      <x:c r="F11" s="46" t="n">
        <x:f>INDEX('02_境界时间轴'!$E$6:$E$17,A11)</x:f>
        <x:v>100</x:v>
      </x:c>
      <x:c r="G11" s="46" t="n">
        <x:f>ROUND(F11*E11/SUM($E$6:$E$15),0)</x:f>
        <x:v>11</x:v>
      </x:c>
      <x:c r="H11" s="46" t="n">
        <x:f>H10+G11</x:f>
        <x:v>36</x:v>
      </x:c>
      <x:c r="I11" s="56" t="n">
        <x:f>G11/'01_核心假设'!$B$13</x:f>
        <x:v>0.040740740740740744</x:v>
      </x:c>
      <x:c r="J11" s="36" t="str">
        <x:f>INDEX('02_境界时间轴'!$I$6:$I$17,A11)</x:f>
        <x:v>MVP</x:v>
      </x:c>
    </x:row>
    <x:row r="12">
      <x:c r="A12" s="30" t="n">
        <x:v>1</x:v>
      </x:c>
      <x:c r="B12" s="36" t="str">
        <x:f>INDEX('02_境界时间轴'!$B$6:$B$17,A12)</x:f>
        <x:v>凡人入门</x:v>
      </x:c>
      <x:c r="C12" s="36" t="str">
        <x:f>INDEX('02_境界时间轴'!$C$6:$C$17,A12)</x:f>
        <x:v>凡人</x:v>
      </x:c>
      <x:c r="D12" s="30" t="n">
        <x:v>7</x:v>
      </x:c>
      <x:c r="E12" s="46" t="n">
        <x:f>POWER(D12,'01_核心假设'!$B$37)</x:f>
        <x:v>10.330412131161864</x:v>
      </x:c>
      <x:c r="F12" s="46" t="n">
        <x:f>INDEX('02_境界时间轴'!$E$6:$E$17,A12)</x:f>
        <x:v>100</x:v>
      </x:c>
      <x:c r="G12" s="46" t="n">
        <x:f>ROUND(F12*E12/SUM($E$6:$E$15),0)</x:f>
        <x:v>13</x:v>
      </x:c>
      <x:c r="H12" s="46" t="n">
        <x:f>H11+G12</x:f>
        <x:v>49</x:v>
      </x:c>
      <x:c r="I12" s="56" t="n">
        <x:f>G12/'01_核心假设'!$B$13</x:f>
        <x:v>0.04814814814814815</x:v>
      </x:c>
      <x:c r="J12" s="36" t="str">
        <x:f>INDEX('02_境界时间轴'!$I$6:$I$17,A12)</x:f>
        <x:v>MVP</x:v>
      </x:c>
    </x:row>
    <x:row r="13">
      <x:c r="A13" s="30" t="n">
        <x:v>1</x:v>
      </x:c>
      <x:c r="B13" s="36" t="str">
        <x:f>INDEX('02_境界时间轴'!$B$6:$B$17,A13)</x:f>
        <x:v>凡人入门</x:v>
      </x:c>
      <x:c r="C13" s="36" t="str">
        <x:f>INDEX('02_境界时间轴'!$C$6:$C$17,A13)</x:f>
        <x:v>凡人</x:v>
      </x:c>
      <x:c r="D13" s="30" t="n">
        <x:v>8</x:v>
      </x:c>
      <x:c r="E13" s="46" t="n">
        <x:f>POWER(D13,'01_核心假设'!$B$37)</x:f>
        <x:v>12.125732532083184</x:v>
      </x:c>
      <x:c r="F13" s="46" t="n">
        <x:f>INDEX('02_境界时间轴'!$E$6:$E$17,A13)</x:f>
        <x:v>100</x:v>
      </x:c>
      <x:c r="G13" s="46" t="n">
        <x:f>ROUND(F13*E13/SUM($E$6:$E$15),0)</x:f>
        <x:v>15</x:v>
      </x:c>
      <x:c r="H13" s="46" t="n">
        <x:f>H12+G13</x:f>
        <x:v>64</x:v>
      </x:c>
      <x:c r="I13" s="56" t="n">
        <x:f>G13/'01_核心假设'!$B$13</x:f>
        <x:v>0.05555555555555555</x:v>
      </x:c>
      <x:c r="J13" s="36" t="str">
        <x:f>INDEX('02_境界时间轴'!$I$6:$I$17,A13)</x:f>
        <x:v>MVP</x:v>
      </x:c>
    </x:row>
    <x:row r="14">
      <x:c r="A14" s="30" t="n">
        <x:v>1</x:v>
      </x:c>
      <x:c r="B14" s="36" t="str">
        <x:f>INDEX('02_境界时间轴'!$B$6:$B$17,A14)</x:f>
        <x:v>凡人入门</x:v>
      </x:c>
      <x:c r="C14" s="36" t="str">
        <x:f>INDEX('02_境界时间轴'!$C$6:$C$17,A14)</x:f>
        <x:v>凡人</x:v>
      </x:c>
      <x:c r="D14" s="30" t="n">
        <x:v>9</x:v>
      </x:c>
      <x:c r="E14" s="46" t="n">
        <x:f>POWER(D14,'01_核心假设'!$B$37)</x:f>
        <x:v>13.966610165238235</x:v>
      </x:c>
      <x:c r="F14" s="46" t="n">
        <x:f>INDEX('02_境界时间轴'!$E$6:$E$17,A14)</x:f>
        <x:v>100</x:v>
      </x:c>
      <x:c r="G14" s="46" t="n">
        <x:f>ROUND(F14*E14/SUM($E$6:$E$15),0)</x:f>
        <x:v>17</x:v>
      </x:c>
      <x:c r="H14" s="46" t="n">
        <x:f>H13+G14</x:f>
        <x:v>81</x:v>
      </x:c>
      <x:c r="I14" s="56" t="n">
        <x:f>G14/'01_核心假设'!$B$13</x:f>
        <x:v>0.06296296296296296</x:v>
      </x:c>
      <x:c r="J14" s="36" t="str">
        <x:f>INDEX('02_境界时间轴'!$I$6:$I$17,A14)</x:f>
        <x:v>MVP</x:v>
      </x:c>
    </x:row>
    <x:row r="15">
      <x:c r="A15" s="30" t="n">
        <x:v>1</x:v>
      </x:c>
      <x:c r="B15" s="36" t="str">
        <x:f>INDEX('02_境界时间轴'!$B$6:$B$17,A15)</x:f>
        <x:v>凡人入门</x:v>
      </x:c>
      <x:c r="C15" s="36" t="str">
        <x:f>INDEX('02_境界时间轴'!$C$6:$C$17,A15)</x:f>
        <x:v>凡人</x:v>
      </x:c>
      <x:c r="D15" s="30" t="n">
        <x:v>10</x:v>
      </x:c>
      <x:c r="E15" s="46" t="n">
        <x:f>POWER(D15,'01_核心假设'!$B$37)</x:f>
        <x:v>15.848931924611133</x:v>
      </x:c>
      <x:c r="F15" s="46" t="n">
        <x:f>INDEX('02_境界时间轴'!$E$6:$E$17,A15)</x:f>
        <x:v>100</x:v>
      </x:c>
      <x:c r="G15" s="46" t="n">
        <x:f>ROUND(F15*E15/SUM($E$6:$E$15),0)</x:f>
        <x:v>20</x:v>
      </x:c>
      <x:c r="H15" s="46" t="n">
        <x:f>H14+G15</x:f>
        <x:v>101</x:v>
      </x:c>
      <x:c r="I15" s="56" t="n">
        <x:f>G15/'01_核心假设'!$B$13</x:f>
        <x:v>0.07407407407407407</x:v>
      </x:c>
      <x:c r="J15" s="36" t="str">
        <x:f>INDEX('02_境界时间轴'!$I$6:$I$17,A15)</x:f>
        <x:v>MVP</x:v>
      </x:c>
    </x:row>
    <x:row r="16">
      <x:c r="A16" s="30" t="n">
        <x:v>2</x:v>
      </x:c>
      <x:c r="B16" s="36" t="str">
        <x:f>INDEX('02_境界时间轴'!$B$6:$B$17,A16)</x:f>
        <x:v>炼气初期</x:v>
      </x:c>
      <x:c r="C16" s="36" t="str">
        <x:f>INDEX('02_境界时间轴'!$C$6:$C$17,A16)</x:f>
        <x:v>炼气</x:v>
      </x:c>
      <x:c r="D16" s="30" t="n">
        <x:v>1</x:v>
      </x:c>
      <x:c r="E16" s="46" t="n">
        <x:f>POWER(D16,'01_核心假设'!$B$37)</x:f>
        <x:v>1</x:v>
      </x:c>
      <x:c r="F16" s="46" t="n">
        <x:f>INDEX('02_境界时间轴'!$E$6:$E$17,A16)</x:f>
        <x:v>2000</x:v>
      </x:c>
      <x:c r="G16" s="46" t="n">
        <x:f>ROUND(F16*E16/SUM($E$16:$E$25),0)</x:f>
        <x:v>25</x:v>
      </x:c>
      <x:c r="H16" s="46" t="n">
        <x:f>H15+G16</x:f>
        <x:v>126</x:v>
      </x:c>
      <x:c r="I16" s="56" t="n">
        <x:f>G16/'01_核心假设'!$B$13</x:f>
        <x:v>0.09259259259259259</x:v>
      </x:c>
      <x:c r="J16" s="36" t="str">
        <x:f>INDEX('02_境界时间轴'!$I$6:$I$17,A16)</x:f>
        <x:v>MVP</x:v>
      </x:c>
    </x:row>
    <x:row r="17">
      <x:c r="A17" s="30" t="n">
        <x:v>2</x:v>
      </x:c>
      <x:c r="B17" s="36" t="str">
        <x:f>INDEX('02_境界时间轴'!$B$6:$B$17,A17)</x:f>
        <x:v>炼气初期</x:v>
      </x:c>
      <x:c r="C17" s="36" t="str">
        <x:f>INDEX('02_境界时间轴'!$C$6:$C$17,A17)</x:f>
        <x:v>炼气</x:v>
      </x:c>
      <x:c r="D17" s="30" t="n">
        <x:v>2</x:v>
      </x:c>
      <x:c r="E17" s="46" t="n">
        <x:f>POWER(D17,'01_核心假设'!$B$37)</x:f>
        <x:v>2.2973967099940698</x:v>
      </x:c>
      <x:c r="F17" s="46" t="n">
        <x:f>INDEX('02_境界时间轴'!$E$6:$E$17,A17)</x:f>
        <x:v>2000</x:v>
      </x:c>
      <x:c r="G17" s="46" t="n">
        <x:f>ROUND(F17*E17/SUM($E$16:$E$25),0)</x:f>
        <x:v>57</x:v>
      </x:c>
      <x:c r="H17" s="46" t="n">
        <x:f>H16+G17</x:f>
        <x:v>183</x:v>
      </x:c>
      <x:c r="I17" s="56" t="n">
        <x:f>G17/'01_核心假设'!$B$13</x:f>
        <x:v>0.2111111111111111</x:v>
      </x:c>
      <x:c r="J17" s="36" t="str">
        <x:f>INDEX('02_境界时间轴'!$I$6:$I$17,A17)</x:f>
        <x:v>MVP</x:v>
      </x:c>
    </x:row>
    <x:row r="18">
      <x:c r="A18" s="30" t="n">
        <x:v>2</x:v>
      </x:c>
      <x:c r="B18" s="36" t="str">
        <x:f>INDEX('02_境界时间轴'!$B$6:$B$17,A18)</x:f>
        <x:v>炼气初期</x:v>
      </x:c>
      <x:c r="C18" s="36" t="str">
        <x:f>INDEX('02_境界时间轴'!$C$6:$C$17,A18)</x:f>
        <x:v>炼气</x:v>
      </x:c>
      <x:c r="D18" s="30" t="n">
        <x:v>3</x:v>
      </x:c>
      <x:c r="E18" s="46" t="n">
        <x:f>POWER(D18,'01_核心假设'!$B$37)</x:f>
        <x:v>3.7371928188465517</x:v>
      </x:c>
      <x:c r="F18" s="46" t="n">
        <x:f>INDEX('02_境界时间轴'!$E$6:$E$17,A18)</x:f>
        <x:v>2000</x:v>
      </x:c>
      <x:c r="G18" s="46" t="n">
        <x:f>ROUND(F18*E18/SUM($E$16:$E$25),0)</x:f>
        <x:v>93</x:v>
      </x:c>
      <x:c r="H18" s="46" t="n">
        <x:f>H17+G18</x:f>
        <x:v>276</x:v>
      </x:c>
      <x:c r="I18" s="56" t="n">
        <x:f>G18/'01_核心假设'!$B$13</x:f>
        <x:v>0.34444444444444444</x:v>
      </x:c>
      <x:c r="J18" s="36" t="str">
        <x:f>INDEX('02_境界时间轴'!$I$6:$I$17,A18)</x:f>
        <x:v>MVP</x:v>
      </x:c>
    </x:row>
    <x:row r="19">
      <x:c r="A19" s="30" t="n">
        <x:v>2</x:v>
      </x:c>
      <x:c r="B19" s="36" t="str">
        <x:f>INDEX('02_境界时间轴'!$B$6:$B$17,A19)</x:f>
        <x:v>炼气初期</x:v>
      </x:c>
      <x:c r="C19" s="36" t="str">
        <x:f>INDEX('02_境界时间轴'!$C$6:$C$17,A19)</x:f>
        <x:v>炼气</x:v>
      </x:c>
      <x:c r="D19" s="30" t="n">
        <x:v>4</x:v>
      </x:c>
      <x:c r="E19" s="46" t="n">
        <x:f>POWER(D19,'01_核心假设'!$B$37)</x:f>
        <x:v>5.278031643091577</x:v>
      </x:c>
      <x:c r="F19" s="46" t="n">
        <x:f>INDEX('02_境界时间轴'!$E$6:$E$17,A19)</x:f>
        <x:v>2000</x:v>
      </x:c>
      <x:c r="G19" s="46" t="n">
        <x:f>ROUND(F19*E19/SUM($E$16:$E$25),0)</x:f>
        <x:v>132</x:v>
      </x:c>
      <x:c r="H19" s="46" t="n">
        <x:f>H18+G19</x:f>
        <x:v>408</x:v>
      </x:c>
      <x:c r="I19" s="56" t="n">
        <x:f>G19/'01_核心假设'!$B$13</x:f>
        <x:v>0.4888888888888889</x:v>
      </x:c>
      <x:c r="J19" s="36" t="str">
        <x:f>INDEX('02_境界时间轴'!$I$6:$I$17,A19)</x:f>
        <x:v>MVP</x:v>
      </x:c>
    </x:row>
    <x:row r="20">
      <x:c r="A20" s="30" t="n">
        <x:v>2</x:v>
      </x:c>
      <x:c r="B20" s="36" t="str">
        <x:f>INDEX('02_境界时间轴'!$B$6:$B$17,A20)</x:f>
        <x:v>炼气初期</x:v>
      </x:c>
      <x:c r="C20" s="36" t="str">
        <x:f>INDEX('02_境界时间轴'!$C$6:$C$17,A20)</x:f>
        <x:v>炼气</x:v>
      </x:c>
      <x:c r="D20" s="30" t="n">
        <x:v>5</x:v>
      </x:c>
      <x:c r="E20" s="46" t="n">
        <x:f>POWER(D20,'01_核心假设'!$B$37)</x:f>
        <x:v>6.898648307306074</x:v>
      </x:c>
      <x:c r="F20" s="46" t="n">
        <x:f>INDEX('02_境界时间轴'!$E$6:$E$17,A20)</x:f>
        <x:v>2000</x:v>
      </x:c>
      <x:c r="G20" s="46" t="n">
        <x:f>ROUND(F20*E20/SUM($E$16:$E$25),0)</x:f>
        <x:v>172</x:v>
      </x:c>
      <x:c r="H20" s="46" t="n">
        <x:f>H19+G20</x:f>
        <x:v>580</x:v>
      </x:c>
      <x:c r="I20" s="56" t="n">
        <x:f>G20/'01_核心假设'!$B$13</x:f>
        <x:v>0.6370370370370371</x:v>
      </x:c>
      <x:c r="J20" s="36" t="str">
        <x:f>INDEX('02_境界时间轴'!$I$6:$I$17,A20)</x:f>
        <x:v>MVP</x:v>
      </x:c>
    </x:row>
    <x:row r="21">
      <x:c r="A21" s="30" t="n">
        <x:v>2</x:v>
      </x:c>
      <x:c r="B21" s="36" t="str">
        <x:f>INDEX('02_境界时间轴'!$B$6:$B$17,A21)</x:f>
        <x:v>炼气初期</x:v>
      </x:c>
      <x:c r="C21" s="36" t="str">
        <x:f>INDEX('02_境界时间轴'!$C$6:$C$17,A21)</x:f>
        <x:v>炼气</x:v>
      </x:c>
      <x:c r="D21" s="30" t="n">
        <x:v>6</x:v>
      </x:c>
      <x:c r="E21" s="46" t="n">
        <x:f>POWER(D21,'01_核心假设'!$B$37)</x:f>
        <x:v>8.585814486631532</x:v>
      </x:c>
      <x:c r="F21" s="46" t="n">
        <x:f>INDEX('02_境界时间轴'!$E$6:$E$17,A21)</x:f>
        <x:v>2000</x:v>
      </x:c>
      <x:c r="G21" s="46" t="n">
        <x:f>ROUND(F21*E21/SUM($E$16:$E$25),0)</x:f>
        <x:v>214</x:v>
      </x:c>
      <x:c r="H21" s="46" t="n">
        <x:f>H20+G21</x:f>
        <x:v>794</x:v>
      </x:c>
      <x:c r="I21" s="56" t="n">
        <x:f>G21/'01_核心假设'!$B$13</x:f>
        <x:v>0.7925925925925926</x:v>
      </x:c>
      <x:c r="J21" s="36" t="str">
        <x:f>INDEX('02_境界时间轴'!$I$6:$I$17,A21)</x:f>
        <x:v>MVP</x:v>
      </x:c>
    </x:row>
    <x:row r="22">
      <x:c r="A22" s="30" t="n">
        <x:v>2</x:v>
      </x:c>
      <x:c r="B22" s="36" t="str">
        <x:f>INDEX('02_境界时间轴'!$B$6:$B$17,A22)</x:f>
        <x:v>炼气初期</x:v>
      </x:c>
      <x:c r="C22" s="36" t="str">
        <x:f>INDEX('02_境界时间轴'!$C$6:$C$17,A22)</x:f>
        <x:v>炼气</x:v>
      </x:c>
      <x:c r="D22" s="30" t="n">
        <x:v>7</x:v>
      </x:c>
      <x:c r="E22" s="46" t="n">
        <x:f>POWER(D22,'01_核心假设'!$B$37)</x:f>
        <x:v>10.330412131161864</x:v>
      </x:c>
      <x:c r="F22" s="46" t="n">
        <x:f>INDEX('02_境界时间轴'!$E$6:$E$17,A22)</x:f>
        <x:v>2000</x:v>
      </x:c>
      <x:c r="G22" s="46" t="n">
        <x:f>ROUND(F22*E22/SUM($E$16:$E$25),0)</x:f>
        <x:v>258</x:v>
      </x:c>
      <x:c r="H22" s="46" t="n">
        <x:f>H21+G22</x:f>
        <x:v>1052</x:v>
      </x:c>
      <x:c r="I22" s="56" t="n">
        <x:f>G22/'01_核心假设'!$B$13</x:f>
        <x:v>0.9555555555555556</x:v>
      </x:c>
      <x:c r="J22" s="36" t="str">
        <x:f>INDEX('02_境界时间轴'!$I$6:$I$17,A22)</x:f>
        <x:v>MVP</x:v>
      </x:c>
    </x:row>
    <x:row r="23">
      <x:c r="A23" s="30" t="n">
        <x:v>2</x:v>
      </x:c>
      <x:c r="B23" s="36" t="str">
        <x:f>INDEX('02_境界时间轴'!$B$6:$B$17,A23)</x:f>
        <x:v>炼气初期</x:v>
      </x:c>
      <x:c r="C23" s="36" t="str">
        <x:f>INDEX('02_境界时间轴'!$C$6:$C$17,A23)</x:f>
        <x:v>炼气</x:v>
      </x:c>
      <x:c r="D23" s="30" t="n">
        <x:v>8</x:v>
      </x:c>
      <x:c r="E23" s="46" t="n">
        <x:f>POWER(D23,'01_核心假设'!$B$37)</x:f>
        <x:v>12.125732532083184</x:v>
      </x:c>
      <x:c r="F23" s="46" t="n">
        <x:f>INDEX('02_境界时间轴'!$E$6:$E$17,A23)</x:f>
        <x:v>2000</x:v>
      </x:c>
      <x:c r="G23" s="46" t="n">
        <x:f>ROUND(F23*E23/SUM($E$16:$E$25),0)</x:f>
        <x:v>303</x:v>
      </x:c>
      <x:c r="H23" s="46" t="n">
        <x:f>H22+G23</x:f>
        <x:v>1355</x:v>
      </x:c>
      <x:c r="I23" s="56" t="n">
        <x:f>G23/'01_核心假设'!$B$13</x:f>
        <x:v>1.1222222222222222</x:v>
      </x:c>
      <x:c r="J23" s="36" t="str">
        <x:f>INDEX('02_境界时间轴'!$I$6:$I$17,A23)</x:f>
        <x:v>MVP</x:v>
      </x:c>
    </x:row>
    <x:row r="24">
      <x:c r="A24" s="30" t="n">
        <x:v>2</x:v>
      </x:c>
      <x:c r="B24" s="36" t="str">
        <x:f>INDEX('02_境界时间轴'!$B$6:$B$17,A24)</x:f>
        <x:v>炼气初期</x:v>
      </x:c>
      <x:c r="C24" s="36" t="str">
        <x:f>INDEX('02_境界时间轴'!$C$6:$C$17,A24)</x:f>
        <x:v>炼气</x:v>
      </x:c>
      <x:c r="D24" s="30" t="n">
        <x:v>9</x:v>
      </x:c>
      <x:c r="E24" s="46" t="n">
        <x:f>POWER(D24,'01_核心假设'!$B$37)</x:f>
        <x:v>13.966610165238235</x:v>
      </x:c>
      <x:c r="F24" s="46" t="n">
        <x:f>INDEX('02_境界时间轴'!$E$6:$E$17,A24)</x:f>
        <x:v>2000</x:v>
      </x:c>
      <x:c r="G24" s="46" t="n">
        <x:f>ROUND(F24*E24/SUM($E$16:$E$25),0)</x:f>
        <x:v>349</x:v>
      </x:c>
      <x:c r="H24" s="46" t="n">
        <x:f>H23+G24</x:f>
        <x:v>1704</x:v>
      </x:c>
      <x:c r="I24" s="56" t="n">
        <x:f>G24/'01_核心假设'!$B$13</x:f>
        <x:v>1.2925925925925925</x:v>
      </x:c>
      <x:c r="J24" s="36" t="str">
        <x:f>INDEX('02_境界时间轴'!$I$6:$I$17,A24)</x:f>
        <x:v>MVP</x:v>
      </x:c>
    </x:row>
    <x:row r="25">
      <x:c r="A25" s="30" t="n">
        <x:v>2</x:v>
      </x:c>
      <x:c r="B25" s="36" t="str">
        <x:f>INDEX('02_境界时间轴'!$B$6:$B$17,A25)</x:f>
        <x:v>炼气初期</x:v>
      </x:c>
      <x:c r="C25" s="36" t="str">
        <x:f>INDEX('02_境界时间轴'!$C$6:$C$17,A25)</x:f>
        <x:v>炼气</x:v>
      </x:c>
      <x:c r="D25" s="30" t="n">
        <x:v>10</x:v>
      </x:c>
      <x:c r="E25" s="46" t="n">
        <x:f>POWER(D25,'01_核心假设'!$B$37)</x:f>
        <x:v>15.848931924611133</x:v>
      </x:c>
      <x:c r="F25" s="46" t="n">
        <x:f>INDEX('02_境界时间轴'!$E$6:$E$17,A25)</x:f>
        <x:v>2000</x:v>
      </x:c>
      <x:c r="G25" s="46" t="n">
        <x:f>ROUND(F25*E25/SUM($E$16:$E$25),0)</x:f>
        <x:v>396</x:v>
      </x:c>
      <x:c r="H25" s="46" t="n">
        <x:f>H24+G25</x:f>
        <x:v>2100</x:v>
      </x:c>
      <x:c r="I25" s="56" t="n">
        <x:f>G25/'01_核心假设'!$B$13</x:f>
        <x:v>1.4666666666666666</x:v>
      </x:c>
      <x:c r="J25" s="36" t="str">
        <x:f>INDEX('02_境界时间轴'!$I$6:$I$17,A25)</x:f>
        <x:v>MVP</x:v>
      </x:c>
    </x:row>
    <x:row r="26">
      <x:c r="A26" s="30" t="n">
        <x:v>3</x:v>
      </x:c>
      <x:c r="B26" s="36" t="str">
        <x:f>INDEX('02_境界时间轴'!$B$6:$B$17,A26)</x:f>
        <x:v>炼气中期</x:v>
      </x:c>
      <x:c r="C26" s="36" t="str">
        <x:f>INDEX('02_境界时间轴'!$C$6:$C$17,A26)</x:f>
        <x:v>炼气</x:v>
      </x:c>
      <x:c r="D26" s="30" t="n">
        <x:v>1</x:v>
      </x:c>
      <x:c r="E26" s="46" t="n">
        <x:f>POWER(D26,'01_核心假设'!$B$37)</x:f>
        <x:v>1</x:v>
      </x:c>
      <x:c r="F26" s="46" t="n">
        <x:f>INDEX('02_境界时间轴'!$E$6:$E$17,A26)</x:f>
        <x:v>5000</x:v>
      </x:c>
      <x:c r="G26" s="46" t="n">
        <x:f>ROUND(F26*E26/SUM($E$26:$E$35),0)</x:f>
        <x:v>62</x:v>
      </x:c>
      <x:c r="H26" s="46" t="n">
        <x:f>H25+G26</x:f>
        <x:v>2162</x:v>
      </x:c>
      <x:c r="I26" s="56" t="n">
        <x:f>G26/'01_核心假设'!$B$13</x:f>
        <x:v>0.22962962962962963</x:v>
      </x:c>
      <x:c r="J26" s="36" t="str">
        <x:f>INDEX('02_境界时间轴'!$I$6:$I$17,A26)</x:f>
        <x:v>MVP</x:v>
      </x:c>
    </x:row>
    <x:row r="27">
      <x:c r="A27" s="30" t="n">
        <x:v>3</x:v>
      </x:c>
      <x:c r="B27" s="36" t="str">
        <x:f>INDEX('02_境界时间轴'!$B$6:$B$17,A27)</x:f>
        <x:v>炼气中期</x:v>
      </x:c>
      <x:c r="C27" s="36" t="str">
        <x:f>INDEX('02_境界时间轴'!$C$6:$C$17,A27)</x:f>
        <x:v>炼气</x:v>
      </x:c>
      <x:c r="D27" s="30" t="n">
        <x:v>2</x:v>
      </x:c>
      <x:c r="E27" s="46" t="n">
        <x:f>POWER(D27,'01_核心假设'!$B$37)</x:f>
        <x:v>2.2973967099940698</x:v>
      </x:c>
      <x:c r="F27" s="46" t="n">
        <x:f>INDEX('02_境界时间轴'!$E$6:$E$17,A27)</x:f>
        <x:v>5000</x:v>
      </x:c>
      <x:c r="G27" s="46" t="n">
        <x:f>ROUND(F27*E27/SUM($E$26:$E$35),0)</x:f>
        <x:v>143</x:v>
      </x:c>
      <x:c r="H27" s="46" t="n">
        <x:f>H26+G27</x:f>
        <x:v>2305</x:v>
      </x:c>
      <x:c r="I27" s="56" t="n">
        <x:f>G27/'01_核心假设'!$B$13</x:f>
        <x:v>0.5296296296296297</x:v>
      </x:c>
      <x:c r="J27" s="36" t="str">
        <x:f>INDEX('02_境界时间轴'!$I$6:$I$17,A27)</x:f>
        <x:v>MVP</x:v>
      </x:c>
    </x:row>
    <x:row r="28">
      <x:c r="A28" s="30" t="n">
        <x:v>3</x:v>
      </x:c>
      <x:c r="B28" s="36" t="str">
        <x:f>INDEX('02_境界时间轴'!$B$6:$B$17,A28)</x:f>
        <x:v>炼气中期</x:v>
      </x:c>
      <x:c r="C28" s="36" t="str">
        <x:f>INDEX('02_境界时间轴'!$C$6:$C$17,A28)</x:f>
        <x:v>炼气</x:v>
      </x:c>
      <x:c r="D28" s="30" t="n">
        <x:v>3</x:v>
      </x:c>
      <x:c r="E28" s="46" t="n">
        <x:f>POWER(D28,'01_核心假设'!$B$37)</x:f>
        <x:v>3.7371928188465517</x:v>
      </x:c>
      <x:c r="F28" s="46" t="n">
        <x:f>INDEX('02_境界时间轴'!$E$6:$E$17,A28)</x:f>
        <x:v>5000</x:v>
      </x:c>
      <x:c r="G28" s="46" t="n">
        <x:f>ROUND(F28*E28/SUM($E$26:$E$35),0)</x:f>
        <x:v>233</x:v>
      </x:c>
      <x:c r="H28" s="46" t="n">
        <x:f>H27+G28</x:f>
        <x:v>2538</x:v>
      </x:c>
      <x:c r="I28" s="56" t="n">
        <x:f>G28/'01_核心假设'!$B$13</x:f>
        <x:v>0.8629629629629629</x:v>
      </x:c>
      <x:c r="J28" s="36" t="str">
        <x:f>INDEX('02_境界时间轴'!$I$6:$I$17,A28)</x:f>
        <x:v>MVP</x:v>
      </x:c>
    </x:row>
    <x:row r="29">
      <x:c r="A29" s="30" t="n">
        <x:v>3</x:v>
      </x:c>
      <x:c r="B29" s="36" t="str">
        <x:f>INDEX('02_境界时间轴'!$B$6:$B$17,A29)</x:f>
        <x:v>炼气中期</x:v>
      </x:c>
      <x:c r="C29" s="36" t="str">
        <x:f>INDEX('02_境界时间轴'!$C$6:$C$17,A29)</x:f>
        <x:v>炼气</x:v>
      </x:c>
      <x:c r="D29" s="30" t="n">
        <x:v>4</x:v>
      </x:c>
      <x:c r="E29" s="46" t="n">
        <x:f>POWER(D29,'01_核心假设'!$B$37)</x:f>
        <x:v>5.278031643091577</x:v>
      </x:c>
      <x:c r="F29" s="46" t="n">
        <x:f>INDEX('02_境界时间轴'!$E$6:$E$17,A29)</x:f>
        <x:v>5000</x:v>
      </x:c>
      <x:c r="G29" s="46" t="n">
        <x:f>ROUND(F29*E29/SUM($E$26:$E$35),0)</x:f>
        <x:v>330</x:v>
      </x:c>
      <x:c r="H29" s="46" t="n">
        <x:f>H28+G29</x:f>
        <x:v>2868</x:v>
      </x:c>
      <x:c r="I29" s="56" t="n">
        <x:f>G29/'01_核心假设'!$B$13</x:f>
        <x:v>1.2222222222222223</x:v>
      </x:c>
      <x:c r="J29" s="36" t="str">
        <x:f>INDEX('02_境界时间轴'!$I$6:$I$17,A29)</x:f>
        <x:v>MVP</x:v>
      </x:c>
    </x:row>
    <x:row r="30">
      <x:c r="A30" s="30" t="n">
        <x:v>3</x:v>
      </x:c>
      <x:c r="B30" s="36" t="str">
        <x:f>INDEX('02_境界时间轴'!$B$6:$B$17,A30)</x:f>
        <x:v>炼气中期</x:v>
      </x:c>
      <x:c r="C30" s="36" t="str">
        <x:f>INDEX('02_境界时间轴'!$C$6:$C$17,A30)</x:f>
        <x:v>炼气</x:v>
      </x:c>
      <x:c r="D30" s="30" t="n">
        <x:v>5</x:v>
      </x:c>
      <x:c r="E30" s="46" t="n">
        <x:f>POWER(D30,'01_核心假设'!$B$37)</x:f>
        <x:v>6.898648307306074</x:v>
      </x:c>
      <x:c r="F30" s="46" t="n">
        <x:f>INDEX('02_境界时间轴'!$E$6:$E$17,A30)</x:f>
        <x:v>5000</x:v>
      </x:c>
      <x:c r="G30" s="46" t="n">
        <x:f>ROUND(F30*E30/SUM($E$26:$E$35),0)</x:f>
        <x:v>431</x:v>
      </x:c>
      <x:c r="H30" s="46" t="n">
        <x:f>H29+G30</x:f>
        <x:v>3299</x:v>
      </x:c>
      <x:c r="I30" s="56" t="n">
        <x:f>G30/'01_核心假设'!$B$13</x:f>
        <x:v>1.5962962962962963</x:v>
      </x:c>
      <x:c r="J30" s="36" t="str">
        <x:f>INDEX('02_境界时间轴'!$I$6:$I$17,A30)</x:f>
        <x:v>MVP</x:v>
      </x:c>
    </x:row>
    <x:row r="31">
      <x:c r="A31" s="30" t="n">
        <x:v>3</x:v>
      </x:c>
      <x:c r="B31" s="36" t="str">
        <x:f>INDEX('02_境界时间轴'!$B$6:$B$17,A31)</x:f>
        <x:v>炼气中期</x:v>
      </x:c>
      <x:c r="C31" s="36" t="str">
        <x:f>INDEX('02_境界时间轴'!$C$6:$C$17,A31)</x:f>
        <x:v>炼气</x:v>
      </x:c>
      <x:c r="D31" s="30" t="n">
        <x:v>6</x:v>
      </x:c>
      <x:c r="E31" s="46" t="n">
        <x:f>POWER(D31,'01_核心假设'!$B$37)</x:f>
        <x:v>8.585814486631532</x:v>
      </x:c>
      <x:c r="F31" s="46" t="n">
        <x:f>INDEX('02_境界时间轴'!$E$6:$E$17,A31)</x:f>
        <x:v>5000</x:v>
      </x:c>
      <x:c r="G31" s="46" t="n">
        <x:f>ROUND(F31*E31/SUM($E$26:$E$35),0)</x:f>
        <x:v>536</x:v>
      </x:c>
      <x:c r="H31" s="46" t="n">
        <x:f>H30+G31</x:f>
        <x:v>3835</x:v>
      </x:c>
      <x:c r="I31" s="56" t="n">
        <x:f>G31/'01_核心假设'!$B$13</x:f>
        <x:v>1.9851851851851852</x:v>
      </x:c>
      <x:c r="J31" s="36" t="str">
        <x:f>INDEX('02_境界时间轴'!$I$6:$I$17,A31)</x:f>
        <x:v>MVP</x:v>
      </x:c>
    </x:row>
    <x:row r="32">
      <x:c r="A32" s="30" t="n">
        <x:v>3</x:v>
      </x:c>
      <x:c r="B32" s="36" t="str">
        <x:f>INDEX('02_境界时间轴'!$B$6:$B$17,A32)</x:f>
        <x:v>炼气中期</x:v>
      </x:c>
      <x:c r="C32" s="36" t="str">
        <x:f>INDEX('02_境界时间轴'!$C$6:$C$17,A32)</x:f>
        <x:v>炼气</x:v>
      </x:c>
      <x:c r="D32" s="30" t="n">
        <x:v>7</x:v>
      </x:c>
      <x:c r="E32" s="46" t="n">
        <x:f>POWER(D32,'01_核心假设'!$B$37)</x:f>
        <x:v>10.330412131161864</x:v>
      </x:c>
      <x:c r="F32" s="46" t="n">
        <x:f>INDEX('02_境界时间轴'!$E$6:$E$17,A32)</x:f>
        <x:v>5000</x:v>
      </x:c>
      <x:c r="G32" s="46" t="n">
        <x:f>ROUND(F32*E32/SUM($E$26:$E$35),0)</x:f>
        <x:v>645</x:v>
      </x:c>
      <x:c r="H32" s="46" t="n">
        <x:f>H31+G32</x:f>
        <x:v>4480</x:v>
      </x:c>
      <x:c r="I32" s="56" t="n">
        <x:f>G32/'01_核心假设'!$B$13</x:f>
        <x:v>2.388888888888889</x:v>
      </x:c>
      <x:c r="J32" s="36" t="str">
        <x:f>INDEX('02_境界时间轴'!$I$6:$I$17,A32)</x:f>
        <x:v>MVP</x:v>
      </x:c>
    </x:row>
    <x:row r="33">
      <x:c r="A33" s="30" t="n">
        <x:v>3</x:v>
      </x:c>
      <x:c r="B33" s="36" t="str">
        <x:f>INDEX('02_境界时间轴'!$B$6:$B$17,A33)</x:f>
        <x:v>炼气中期</x:v>
      </x:c>
      <x:c r="C33" s="36" t="str">
        <x:f>INDEX('02_境界时间轴'!$C$6:$C$17,A33)</x:f>
        <x:v>炼气</x:v>
      </x:c>
      <x:c r="D33" s="30" t="n">
        <x:v>8</x:v>
      </x:c>
      <x:c r="E33" s="46" t="n">
        <x:f>POWER(D33,'01_核心假设'!$B$37)</x:f>
        <x:v>12.125732532083184</x:v>
      </x:c>
      <x:c r="F33" s="46" t="n">
        <x:f>INDEX('02_境界时间轴'!$E$6:$E$17,A33)</x:f>
        <x:v>5000</x:v>
      </x:c>
      <x:c r="G33" s="46" t="n">
        <x:f>ROUND(F33*E33/SUM($E$26:$E$35),0)</x:f>
        <x:v>757</x:v>
      </x:c>
      <x:c r="H33" s="46" t="n">
        <x:f>H32+G33</x:f>
        <x:v>5237</x:v>
      </x:c>
      <x:c r="I33" s="56" t="n">
        <x:f>G33/'01_核心假设'!$B$13</x:f>
        <x:v>2.803703703703704</x:v>
      </x:c>
      <x:c r="J33" s="36" t="str">
        <x:f>INDEX('02_境界时间轴'!$I$6:$I$17,A33)</x:f>
        <x:v>MVP</x:v>
      </x:c>
    </x:row>
    <x:row r="34">
      <x:c r="A34" s="30" t="n">
        <x:v>3</x:v>
      </x:c>
      <x:c r="B34" s="36" t="str">
        <x:f>INDEX('02_境界时间轴'!$B$6:$B$17,A34)</x:f>
        <x:v>炼气中期</x:v>
      </x:c>
      <x:c r="C34" s="36" t="str">
        <x:f>INDEX('02_境界时间轴'!$C$6:$C$17,A34)</x:f>
        <x:v>炼气</x:v>
      </x:c>
      <x:c r="D34" s="30" t="n">
        <x:v>9</x:v>
      </x:c>
      <x:c r="E34" s="46" t="n">
        <x:f>POWER(D34,'01_核心假设'!$B$37)</x:f>
        <x:v>13.966610165238235</x:v>
      </x:c>
      <x:c r="F34" s="46" t="n">
        <x:f>INDEX('02_境界时间轴'!$E$6:$E$17,A34)</x:f>
        <x:v>5000</x:v>
      </x:c>
      <x:c r="G34" s="46" t="n">
        <x:f>ROUND(F34*E34/SUM($E$26:$E$35),0)</x:f>
        <x:v>872</x:v>
      </x:c>
      <x:c r="H34" s="46" t="n">
        <x:f>H33+G34</x:f>
        <x:v>6109</x:v>
      </x:c>
      <x:c r="I34" s="56" t="n">
        <x:f>G34/'01_核心假设'!$B$13</x:f>
        <x:v>3.22962962962963</x:v>
      </x:c>
      <x:c r="J34" s="36" t="str">
        <x:f>INDEX('02_境界时间轴'!$I$6:$I$17,A34)</x:f>
        <x:v>MVP</x:v>
      </x:c>
    </x:row>
    <x:row r="35">
      <x:c r="A35" s="30" t="n">
        <x:v>3</x:v>
      </x:c>
      <x:c r="B35" s="36" t="str">
        <x:f>INDEX('02_境界时间轴'!$B$6:$B$17,A35)</x:f>
        <x:v>炼气中期</x:v>
      </x:c>
      <x:c r="C35" s="36" t="str">
        <x:f>INDEX('02_境界时间轴'!$C$6:$C$17,A35)</x:f>
        <x:v>炼气</x:v>
      </x:c>
      <x:c r="D35" s="30" t="n">
        <x:v>10</x:v>
      </x:c>
      <x:c r="E35" s="46" t="n">
        <x:f>POWER(D35,'01_核心假设'!$B$37)</x:f>
        <x:v>15.848931924611133</x:v>
      </x:c>
      <x:c r="F35" s="46" t="n">
        <x:f>INDEX('02_境界时间轴'!$E$6:$E$17,A35)</x:f>
        <x:v>5000</x:v>
      </x:c>
      <x:c r="G35" s="46" t="n">
        <x:f>ROUND(F35*E35/SUM($E$26:$E$35),0)</x:f>
        <x:v>990</x:v>
      </x:c>
      <x:c r="H35" s="46" t="n">
        <x:f>H34+G35</x:f>
        <x:v>7099</x:v>
      </x:c>
      <x:c r="I35" s="56" t="n">
        <x:f>G35/'01_核心假设'!$B$13</x:f>
        <x:v>3.6666666666666665</x:v>
      </x:c>
      <x:c r="J35" s="36" t="str">
        <x:f>INDEX('02_境界时间轴'!$I$6:$I$17,A35)</x:f>
        <x:v>MVP</x:v>
      </x:c>
    </x:row>
    <x:row r="36">
      <x:c r="A36" s="30" t="n">
        <x:v>4</x:v>
      </x:c>
      <x:c r="B36" s="36" t="str">
        <x:f>INDEX('02_境界时间轴'!$B$6:$B$17,A36)</x:f>
        <x:v>炼气后期</x:v>
      </x:c>
      <x:c r="C36" s="36" t="str">
        <x:f>INDEX('02_境界时间轴'!$C$6:$C$17,A36)</x:f>
        <x:v>炼气</x:v>
      </x:c>
      <x:c r="D36" s="30" t="n">
        <x:v>1</x:v>
      </x:c>
      <x:c r="E36" s="46" t="n">
        <x:f>POWER(D36,'01_核心假设'!$B$37)</x:f>
        <x:v>1</x:v>
      </x:c>
      <x:c r="F36" s="46" t="n">
        <x:f>INDEX('02_境界时间轴'!$E$6:$E$17,A36)</x:f>
        <x:v>8000</x:v>
      </x:c>
      <x:c r="G36" s="46" t="n">
        <x:f>ROUND(F36*E36/SUM($E$36:$E$45),0)</x:f>
        <x:v>100</x:v>
      </x:c>
      <x:c r="H36" s="46" t="n">
        <x:f>H35+G36</x:f>
        <x:v>7199</x:v>
      </x:c>
      <x:c r="I36" s="56" t="n">
        <x:f>G36/'01_核心假设'!$B$13</x:f>
        <x:v>0.37037037037037035</x:v>
      </x:c>
      <x:c r="J36" s="36" t="str">
        <x:f>INDEX('02_境界时间轴'!$I$6:$I$17,A36)</x:f>
        <x:v>MVP</x:v>
      </x:c>
    </x:row>
    <x:row r="37">
      <x:c r="A37" s="30" t="n">
        <x:v>4</x:v>
      </x:c>
      <x:c r="B37" s="36" t="str">
        <x:f>INDEX('02_境界时间轴'!$B$6:$B$17,A37)</x:f>
        <x:v>炼气后期</x:v>
      </x:c>
      <x:c r="C37" s="36" t="str">
        <x:f>INDEX('02_境界时间轴'!$C$6:$C$17,A37)</x:f>
        <x:v>炼气</x:v>
      </x:c>
      <x:c r="D37" s="30" t="n">
        <x:v>2</x:v>
      </x:c>
      <x:c r="E37" s="46" t="n">
        <x:f>POWER(D37,'01_核心假设'!$B$37)</x:f>
        <x:v>2.2973967099940698</x:v>
      </x:c>
      <x:c r="F37" s="46" t="n">
        <x:f>INDEX('02_境界时间轴'!$E$6:$E$17,A37)</x:f>
        <x:v>8000</x:v>
      </x:c>
      <x:c r="G37" s="46" t="n">
        <x:f>ROUND(F37*E37/SUM($E$36:$E$45),0)</x:f>
        <x:v>230</x:v>
      </x:c>
      <x:c r="H37" s="46" t="n">
        <x:f>H36+G37</x:f>
        <x:v>7429</x:v>
      </x:c>
      <x:c r="I37" s="56" t="n">
        <x:f>G37/'01_核心假设'!$B$13</x:f>
        <x:v>0.8518518518518519</x:v>
      </x:c>
      <x:c r="J37" s="36" t="str">
        <x:f>INDEX('02_境界时间轴'!$I$6:$I$17,A37)</x:f>
        <x:v>MVP</x:v>
      </x:c>
    </x:row>
    <x:row r="38">
      <x:c r="A38" s="30" t="n">
        <x:v>4</x:v>
      </x:c>
      <x:c r="B38" s="36" t="str">
        <x:f>INDEX('02_境界时间轴'!$B$6:$B$17,A38)</x:f>
        <x:v>炼气后期</x:v>
      </x:c>
      <x:c r="C38" s="36" t="str">
        <x:f>INDEX('02_境界时间轴'!$C$6:$C$17,A38)</x:f>
        <x:v>炼气</x:v>
      </x:c>
      <x:c r="D38" s="30" t="n">
        <x:v>3</x:v>
      </x:c>
      <x:c r="E38" s="46" t="n">
        <x:f>POWER(D38,'01_核心假设'!$B$37)</x:f>
        <x:v>3.7371928188465517</x:v>
      </x:c>
      <x:c r="F38" s="46" t="n">
        <x:f>INDEX('02_境界时间轴'!$E$6:$E$17,A38)</x:f>
        <x:v>8000</x:v>
      </x:c>
      <x:c r="G38" s="46" t="n">
        <x:f>ROUND(F38*E38/SUM($E$36:$E$45),0)</x:f>
        <x:v>373</x:v>
      </x:c>
      <x:c r="H38" s="46" t="n">
        <x:f>H37+G38</x:f>
        <x:v>7802</x:v>
      </x:c>
      <x:c r="I38" s="56" t="n">
        <x:f>G38/'01_核心假设'!$B$13</x:f>
        <x:v>1.3814814814814815</x:v>
      </x:c>
      <x:c r="J38" s="36" t="str">
        <x:f>INDEX('02_境界时间轴'!$I$6:$I$17,A38)</x:f>
        <x:v>MVP</x:v>
      </x:c>
    </x:row>
    <x:row r="39">
      <x:c r="A39" s="30" t="n">
        <x:v>4</x:v>
      </x:c>
      <x:c r="B39" s="36" t="str">
        <x:f>INDEX('02_境界时间轴'!$B$6:$B$17,A39)</x:f>
        <x:v>炼气后期</x:v>
      </x:c>
      <x:c r="C39" s="36" t="str">
        <x:f>INDEX('02_境界时间轴'!$C$6:$C$17,A39)</x:f>
        <x:v>炼气</x:v>
      </x:c>
      <x:c r="D39" s="30" t="n">
        <x:v>4</x:v>
      </x:c>
      <x:c r="E39" s="46" t="n">
        <x:f>POWER(D39,'01_核心假设'!$B$37)</x:f>
        <x:v>5.278031643091577</x:v>
      </x:c>
      <x:c r="F39" s="46" t="n">
        <x:f>INDEX('02_境界时间轴'!$E$6:$E$17,A39)</x:f>
        <x:v>8000</x:v>
      </x:c>
      <x:c r="G39" s="46" t="n">
        <x:f>ROUND(F39*E39/SUM($E$36:$E$45),0)</x:f>
        <x:v>527</x:v>
      </x:c>
      <x:c r="H39" s="46" t="n">
        <x:f>H38+G39</x:f>
        <x:v>8329</x:v>
      </x:c>
      <x:c r="I39" s="56" t="n">
        <x:f>G39/'01_核心假设'!$B$13</x:f>
        <x:v>1.951851851851852</x:v>
      </x:c>
      <x:c r="J39" s="36" t="str">
        <x:f>INDEX('02_境界时间轴'!$I$6:$I$17,A39)</x:f>
        <x:v>MVP</x:v>
      </x:c>
    </x:row>
    <x:row r="40">
      <x:c r="A40" s="30" t="n">
        <x:v>4</x:v>
      </x:c>
      <x:c r="B40" s="36" t="str">
        <x:f>INDEX('02_境界时间轴'!$B$6:$B$17,A40)</x:f>
        <x:v>炼气后期</x:v>
      </x:c>
      <x:c r="C40" s="36" t="str">
        <x:f>INDEX('02_境界时间轴'!$C$6:$C$17,A40)</x:f>
        <x:v>炼气</x:v>
      </x:c>
      <x:c r="D40" s="30" t="n">
        <x:v>5</x:v>
      </x:c>
      <x:c r="E40" s="46" t="n">
        <x:f>POWER(D40,'01_核心假设'!$B$37)</x:f>
        <x:v>6.898648307306074</x:v>
      </x:c>
      <x:c r="F40" s="46" t="n">
        <x:f>INDEX('02_境界时间轴'!$E$6:$E$17,A40)</x:f>
        <x:v>8000</x:v>
      </x:c>
      <x:c r="G40" s="46" t="n">
        <x:f>ROUND(F40*E40/SUM($E$36:$E$45),0)</x:f>
        <x:v>689</x:v>
      </x:c>
      <x:c r="H40" s="46" t="n">
        <x:f>H39+G40</x:f>
        <x:v>9018</x:v>
      </x:c>
      <x:c r="I40" s="56" t="n">
        <x:f>G40/'01_核心假设'!$B$13</x:f>
        <x:v>2.551851851851852</x:v>
      </x:c>
      <x:c r="J40" s="36" t="str">
        <x:f>INDEX('02_境界时间轴'!$I$6:$I$17,A40)</x:f>
        <x:v>MVP</x:v>
      </x:c>
    </x:row>
    <x:row r="41">
      <x:c r="A41" s="30" t="n">
        <x:v>4</x:v>
      </x:c>
      <x:c r="B41" s="36" t="str">
        <x:f>INDEX('02_境界时间轴'!$B$6:$B$17,A41)</x:f>
        <x:v>炼气后期</x:v>
      </x:c>
      <x:c r="C41" s="36" t="str">
        <x:f>INDEX('02_境界时间轴'!$C$6:$C$17,A41)</x:f>
        <x:v>炼气</x:v>
      </x:c>
      <x:c r="D41" s="30" t="n">
        <x:v>6</x:v>
      </x:c>
      <x:c r="E41" s="46" t="n">
        <x:f>POWER(D41,'01_核心假设'!$B$37)</x:f>
        <x:v>8.585814486631532</x:v>
      </x:c>
      <x:c r="F41" s="46" t="n">
        <x:f>INDEX('02_境界时间轴'!$E$6:$E$17,A41)</x:f>
        <x:v>8000</x:v>
      </x:c>
      <x:c r="G41" s="46" t="n">
        <x:f>ROUND(F41*E41/SUM($E$36:$E$45),0)</x:f>
        <x:v>858</x:v>
      </x:c>
      <x:c r="H41" s="46" t="n">
        <x:f>H40+G41</x:f>
        <x:v>9876</x:v>
      </x:c>
      <x:c r="I41" s="56" t="n">
        <x:f>G41/'01_核心假设'!$B$13</x:f>
        <x:v>3.1777777777777776</x:v>
      </x:c>
      <x:c r="J41" s="36" t="str">
        <x:f>INDEX('02_境界时间轴'!$I$6:$I$17,A41)</x:f>
        <x:v>MVP</x:v>
      </x:c>
    </x:row>
    <x:row r="42">
      <x:c r="A42" s="30" t="n">
        <x:v>4</x:v>
      </x:c>
      <x:c r="B42" s="36" t="str">
        <x:f>INDEX('02_境界时间轴'!$B$6:$B$17,A42)</x:f>
        <x:v>炼气后期</x:v>
      </x:c>
      <x:c r="C42" s="36" t="str">
        <x:f>INDEX('02_境界时间轴'!$C$6:$C$17,A42)</x:f>
        <x:v>炼气</x:v>
      </x:c>
      <x:c r="D42" s="30" t="n">
        <x:v>7</x:v>
      </x:c>
      <x:c r="E42" s="46" t="n">
        <x:f>POWER(D42,'01_核心假设'!$B$37)</x:f>
        <x:v>10.330412131161864</x:v>
      </x:c>
      <x:c r="F42" s="46" t="n">
        <x:f>INDEX('02_境界时间轴'!$E$6:$E$17,A42)</x:f>
        <x:v>8000</x:v>
      </x:c>
      <x:c r="G42" s="46" t="n">
        <x:f>ROUND(F42*E42/SUM($E$36:$E$45),0)</x:f>
        <x:v>1032</x:v>
      </x:c>
      <x:c r="H42" s="46" t="n">
        <x:f>H41+G42</x:f>
        <x:v>10908</x:v>
      </x:c>
      <x:c r="I42" s="56" t="n">
        <x:f>G42/'01_核心假设'!$B$13</x:f>
        <x:v>3.8222222222222224</x:v>
      </x:c>
      <x:c r="J42" s="36" t="str">
        <x:f>INDEX('02_境界时间轴'!$I$6:$I$17,A42)</x:f>
        <x:v>MVP</x:v>
      </x:c>
    </x:row>
    <x:row r="43">
      <x:c r="A43" s="30" t="n">
        <x:v>4</x:v>
      </x:c>
      <x:c r="B43" s="36" t="str">
        <x:f>INDEX('02_境界时间轴'!$B$6:$B$17,A43)</x:f>
        <x:v>炼气后期</x:v>
      </x:c>
      <x:c r="C43" s="36" t="str">
        <x:f>INDEX('02_境界时间轴'!$C$6:$C$17,A43)</x:f>
        <x:v>炼气</x:v>
      </x:c>
      <x:c r="D43" s="30" t="n">
        <x:v>8</x:v>
      </x:c>
      <x:c r="E43" s="46" t="n">
        <x:f>POWER(D43,'01_核心假设'!$B$37)</x:f>
        <x:v>12.125732532083184</x:v>
      </x:c>
      <x:c r="F43" s="46" t="n">
        <x:f>INDEX('02_境界时间轴'!$E$6:$E$17,A43)</x:f>
        <x:v>8000</x:v>
      </x:c>
      <x:c r="G43" s="46" t="n">
        <x:f>ROUND(F43*E43/SUM($E$36:$E$45),0)</x:f>
        <x:v>1212</x:v>
      </x:c>
      <x:c r="H43" s="46" t="n">
        <x:f>H42+G43</x:f>
        <x:v>12120</x:v>
      </x:c>
      <x:c r="I43" s="56" t="n">
        <x:f>G43/'01_核心假设'!$B$13</x:f>
        <x:v>4.488888888888889</x:v>
      </x:c>
      <x:c r="J43" s="36" t="str">
        <x:f>INDEX('02_境界时间轴'!$I$6:$I$17,A43)</x:f>
        <x:v>MVP</x:v>
      </x:c>
    </x:row>
    <x:row r="44">
      <x:c r="A44" s="30" t="n">
        <x:v>4</x:v>
      </x:c>
      <x:c r="B44" s="36" t="str">
        <x:f>INDEX('02_境界时间轴'!$B$6:$B$17,A44)</x:f>
        <x:v>炼气后期</x:v>
      </x:c>
      <x:c r="C44" s="36" t="str">
        <x:f>INDEX('02_境界时间轴'!$C$6:$C$17,A44)</x:f>
        <x:v>炼气</x:v>
      </x:c>
      <x:c r="D44" s="30" t="n">
        <x:v>9</x:v>
      </x:c>
      <x:c r="E44" s="46" t="n">
        <x:f>POWER(D44,'01_核心假设'!$B$37)</x:f>
        <x:v>13.966610165238235</x:v>
      </x:c>
      <x:c r="F44" s="46" t="n">
        <x:f>INDEX('02_境界时间轴'!$E$6:$E$17,A44)</x:f>
        <x:v>8000</x:v>
      </x:c>
      <x:c r="G44" s="46" t="n">
        <x:f>ROUND(F44*E44/SUM($E$36:$E$45),0)</x:f>
        <x:v>1395</x:v>
      </x:c>
      <x:c r="H44" s="46" t="n">
        <x:f>H43+G44</x:f>
        <x:v>13515</x:v>
      </x:c>
      <x:c r="I44" s="56" t="n">
        <x:f>G44/'01_核心假设'!$B$13</x:f>
        <x:v>5.166666666666667</x:v>
      </x:c>
      <x:c r="J44" s="36" t="str">
        <x:f>INDEX('02_境界时间轴'!$I$6:$I$17,A44)</x:f>
        <x:v>MVP</x:v>
      </x:c>
    </x:row>
    <x:row r="45">
      <x:c r="A45" s="30" t="n">
        <x:v>4</x:v>
      </x:c>
      <x:c r="B45" s="36" t="str">
        <x:f>INDEX('02_境界时间轴'!$B$6:$B$17,A45)</x:f>
        <x:v>炼气后期</x:v>
      </x:c>
      <x:c r="C45" s="36" t="str">
        <x:f>INDEX('02_境界时间轴'!$C$6:$C$17,A45)</x:f>
        <x:v>炼气</x:v>
      </x:c>
      <x:c r="D45" s="30" t="n">
        <x:v>10</x:v>
      </x:c>
      <x:c r="E45" s="46" t="n">
        <x:f>POWER(D45,'01_核心假设'!$B$37)</x:f>
        <x:v>15.848931924611133</x:v>
      </x:c>
      <x:c r="F45" s="46" t="n">
        <x:f>INDEX('02_境界时间轴'!$E$6:$E$17,A45)</x:f>
        <x:v>8000</x:v>
      </x:c>
      <x:c r="G45" s="46" t="n">
        <x:f>ROUND(F45*E45/SUM($E$36:$E$45),0)</x:f>
        <x:v>1584</x:v>
      </x:c>
      <x:c r="H45" s="46" t="n">
        <x:f>H44+G45</x:f>
        <x:v>15099</x:v>
      </x:c>
      <x:c r="I45" s="56" t="n">
        <x:f>G45/'01_核心假设'!$B$13</x:f>
        <x:v>5.866666666666666</x:v>
      </x:c>
      <x:c r="J45" s="36" t="str">
        <x:f>INDEX('02_境界时间轴'!$I$6:$I$17,A45)</x:f>
        <x:v>MVP</x:v>
      </x:c>
    </x:row>
    <x:row r="46">
      <x:c r="A46" s="30" t="n">
        <x:v>5</x:v>
      </x:c>
      <x:c r="B46" s="36" t="str">
        <x:f>INDEX('02_境界时间轴'!$B$6:$B$17,A46)</x:f>
        <x:v>炼气大圆满</x:v>
      </x:c>
      <x:c r="C46" s="36" t="str">
        <x:f>INDEX('02_境界时间轴'!$C$6:$C$17,A46)</x:f>
        <x:v>炼气</x:v>
      </x:c>
      <x:c r="D46" s="30" t="n">
        <x:v>1</x:v>
      </x:c>
      <x:c r="E46" s="46" t="n">
        <x:f>POWER(D46,'01_核心假设'!$B$37)</x:f>
        <x:v>1</x:v>
      </x:c>
      <x:c r="F46" s="46" t="n">
        <x:f>INDEX('02_境界时间轴'!$E$6:$E$17,A46)</x:f>
        <x:v>9000</x:v>
      </x:c>
      <x:c r="G46" s="46" t="n">
        <x:f>ROUND(F46*E46/SUM($E$46:$E$55),0)</x:f>
        <x:v>112</x:v>
      </x:c>
      <x:c r="H46" s="46" t="n">
        <x:f>H45+G46</x:f>
        <x:v>15211</x:v>
      </x:c>
      <x:c r="I46" s="56" t="n">
        <x:f>G46/'01_核心假设'!$B$13</x:f>
        <x:v>0.4148148148148148</x:v>
      </x:c>
      <x:c r="J46" s="36" t="str">
        <x:f>INDEX('02_境界时间轴'!$I$6:$I$17,A46)</x:f>
        <x:v>MVP</x:v>
      </x:c>
    </x:row>
    <x:row r="47">
      <x:c r="A47" s="30" t="n">
        <x:v>5</x:v>
      </x:c>
      <x:c r="B47" s="36" t="str">
        <x:f>INDEX('02_境界时间轴'!$B$6:$B$17,A47)</x:f>
        <x:v>炼气大圆满</x:v>
      </x:c>
      <x:c r="C47" s="36" t="str">
        <x:f>INDEX('02_境界时间轴'!$C$6:$C$17,A47)</x:f>
        <x:v>炼气</x:v>
      </x:c>
      <x:c r="D47" s="30" t="n">
        <x:v>2</x:v>
      </x:c>
      <x:c r="E47" s="46" t="n">
        <x:f>POWER(D47,'01_核心假设'!$B$37)</x:f>
        <x:v>2.2973967099940698</x:v>
      </x:c>
      <x:c r="F47" s="46" t="n">
        <x:f>INDEX('02_境界时间轴'!$E$6:$E$17,A47)</x:f>
        <x:v>9000</x:v>
      </x:c>
      <x:c r="G47" s="46" t="n">
        <x:f>ROUND(F47*E47/SUM($E$46:$E$55),0)</x:f>
        <x:v>258</x:v>
      </x:c>
      <x:c r="H47" s="46" t="n">
        <x:f>H46+G47</x:f>
        <x:v>15469</x:v>
      </x:c>
      <x:c r="I47" s="56" t="n">
        <x:f>G47/'01_核心假设'!$B$13</x:f>
        <x:v>0.9555555555555556</x:v>
      </x:c>
      <x:c r="J47" s="36" t="str">
        <x:f>INDEX('02_境界时间轴'!$I$6:$I$17,A47)</x:f>
        <x:v>MVP</x:v>
      </x:c>
    </x:row>
    <x:row r="48">
      <x:c r="A48" s="30" t="n">
        <x:v>5</x:v>
      </x:c>
      <x:c r="B48" s="36" t="str">
        <x:f>INDEX('02_境界时间轴'!$B$6:$B$17,A48)</x:f>
        <x:v>炼气大圆满</x:v>
      </x:c>
      <x:c r="C48" s="36" t="str">
        <x:f>INDEX('02_境界时间轴'!$C$6:$C$17,A48)</x:f>
        <x:v>炼气</x:v>
      </x:c>
      <x:c r="D48" s="30" t="n">
        <x:v>3</x:v>
      </x:c>
      <x:c r="E48" s="46" t="n">
        <x:f>POWER(D48,'01_核心假设'!$B$37)</x:f>
        <x:v>3.7371928188465517</x:v>
      </x:c>
      <x:c r="F48" s="46" t="n">
        <x:f>INDEX('02_境界时间轴'!$E$6:$E$17,A48)</x:f>
        <x:v>9000</x:v>
      </x:c>
      <x:c r="G48" s="46" t="n">
        <x:f>ROUND(F48*E48/SUM($E$46:$E$55),0)</x:f>
        <x:v>420</x:v>
      </x:c>
      <x:c r="H48" s="46" t="n">
        <x:f>H47+G48</x:f>
        <x:v>15889</x:v>
      </x:c>
      <x:c r="I48" s="56" t="n">
        <x:f>G48/'01_核心假设'!$B$13</x:f>
        <x:v>1.5555555555555556</x:v>
      </x:c>
      <x:c r="J48" s="36" t="str">
        <x:f>INDEX('02_境界时间轴'!$I$6:$I$17,A48)</x:f>
        <x:v>MVP</x:v>
      </x:c>
    </x:row>
    <x:row r="49">
      <x:c r="A49" s="30" t="n">
        <x:v>5</x:v>
      </x:c>
      <x:c r="B49" s="36" t="str">
        <x:f>INDEX('02_境界时间轴'!$B$6:$B$17,A49)</x:f>
        <x:v>炼气大圆满</x:v>
      </x:c>
      <x:c r="C49" s="36" t="str">
        <x:f>INDEX('02_境界时间轴'!$C$6:$C$17,A49)</x:f>
        <x:v>炼气</x:v>
      </x:c>
      <x:c r="D49" s="30" t="n">
        <x:v>4</x:v>
      </x:c>
      <x:c r="E49" s="46" t="n">
        <x:f>POWER(D49,'01_核心假设'!$B$37)</x:f>
        <x:v>5.278031643091577</x:v>
      </x:c>
      <x:c r="F49" s="46" t="n">
        <x:f>INDEX('02_境界时间轴'!$E$6:$E$17,A49)</x:f>
        <x:v>9000</x:v>
      </x:c>
      <x:c r="G49" s="46" t="n">
        <x:f>ROUND(F49*E49/SUM($E$46:$E$55),0)</x:f>
        <x:v>593</x:v>
      </x:c>
      <x:c r="H49" s="46" t="n">
        <x:f>H48+G49</x:f>
        <x:v>16482</x:v>
      </x:c>
      <x:c r="I49" s="56" t="n">
        <x:f>G49/'01_核心假设'!$B$13</x:f>
        <x:v>2.196296296296296</x:v>
      </x:c>
      <x:c r="J49" s="36" t="str">
        <x:f>INDEX('02_境界时间轴'!$I$6:$I$17,A49)</x:f>
        <x:v>MVP</x:v>
      </x:c>
    </x:row>
    <x:row r="50">
      <x:c r="A50" s="30" t="n">
        <x:v>5</x:v>
      </x:c>
      <x:c r="B50" s="36" t="str">
        <x:f>INDEX('02_境界时间轴'!$B$6:$B$17,A50)</x:f>
        <x:v>炼气大圆满</x:v>
      </x:c>
      <x:c r="C50" s="36" t="str">
        <x:f>INDEX('02_境界时间轴'!$C$6:$C$17,A50)</x:f>
        <x:v>炼气</x:v>
      </x:c>
      <x:c r="D50" s="30" t="n">
        <x:v>5</x:v>
      </x:c>
      <x:c r="E50" s="46" t="n">
        <x:f>POWER(D50,'01_核心假设'!$B$37)</x:f>
        <x:v>6.898648307306074</x:v>
      </x:c>
      <x:c r="F50" s="46" t="n">
        <x:f>INDEX('02_境界时间轴'!$E$6:$E$17,A50)</x:f>
        <x:v>9000</x:v>
      </x:c>
      <x:c r="G50" s="46" t="n">
        <x:f>ROUND(F50*E50/SUM($E$46:$E$55),0)</x:f>
        <x:v>775</x:v>
      </x:c>
      <x:c r="H50" s="46" t="n">
        <x:f>H49+G50</x:f>
        <x:v>17257</x:v>
      </x:c>
      <x:c r="I50" s="56" t="n">
        <x:f>G50/'01_核心假设'!$B$13</x:f>
        <x:v>2.8703703703703702</x:v>
      </x:c>
      <x:c r="J50" s="36" t="str">
        <x:f>INDEX('02_境界时间轴'!$I$6:$I$17,A50)</x:f>
        <x:v>MVP</x:v>
      </x:c>
    </x:row>
    <x:row r="51">
      <x:c r="A51" s="30" t="n">
        <x:v>5</x:v>
      </x:c>
      <x:c r="B51" s="36" t="str">
        <x:f>INDEX('02_境界时间轴'!$B$6:$B$17,A51)</x:f>
        <x:v>炼气大圆满</x:v>
      </x:c>
      <x:c r="C51" s="36" t="str">
        <x:f>INDEX('02_境界时间轴'!$C$6:$C$17,A51)</x:f>
        <x:v>炼气</x:v>
      </x:c>
      <x:c r="D51" s="30" t="n">
        <x:v>6</x:v>
      </x:c>
      <x:c r="E51" s="46" t="n">
        <x:f>POWER(D51,'01_核心假设'!$B$37)</x:f>
        <x:v>8.585814486631532</x:v>
      </x:c>
      <x:c r="F51" s="46" t="n">
        <x:f>INDEX('02_境界时间轴'!$E$6:$E$17,A51)</x:f>
        <x:v>9000</x:v>
      </x:c>
      <x:c r="G51" s="46" t="n">
        <x:f>ROUND(F51*E51/SUM($E$46:$E$55),0)</x:f>
        <x:v>965</x:v>
      </x:c>
      <x:c r="H51" s="46" t="n">
        <x:f>H50+G51</x:f>
        <x:v>18222</x:v>
      </x:c>
      <x:c r="I51" s="56" t="n">
        <x:f>G51/'01_核心假设'!$B$13</x:f>
        <x:v>3.574074074074074</x:v>
      </x:c>
      <x:c r="J51" s="36" t="str">
        <x:f>INDEX('02_境界时间轴'!$I$6:$I$17,A51)</x:f>
        <x:v>MVP</x:v>
      </x:c>
    </x:row>
    <x:row r="52">
      <x:c r="A52" s="30" t="n">
        <x:v>5</x:v>
      </x:c>
      <x:c r="B52" s="36" t="str">
        <x:f>INDEX('02_境界时间轴'!$B$6:$B$17,A52)</x:f>
        <x:v>炼气大圆满</x:v>
      </x:c>
      <x:c r="C52" s="36" t="str">
        <x:f>INDEX('02_境界时间轴'!$C$6:$C$17,A52)</x:f>
        <x:v>炼气</x:v>
      </x:c>
      <x:c r="D52" s="30" t="n">
        <x:v>7</x:v>
      </x:c>
      <x:c r="E52" s="46" t="n">
        <x:f>POWER(D52,'01_核心假设'!$B$37)</x:f>
        <x:v>10.330412131161864</x:v>
      </x:c>
      <x:c r="F52" s="46" t="n">
        <x:f>INDEX('02_境界时间轴'!$E$6:$E$17,A52)</x:f>
        <x:v>9000</x:v>
      </x:c>
      <x:c r="G52" s="46" t="n">
        <x:f>ROUND(F52*E52/SUM($E$46:$E$55),0)</x:f>
        <x:v>1161</x:v>
      </x:c>
      <x:c r="H52" s="46" t="n">
        <x:f>H51+G52</x:f>
        <x:v>19383</x:v>
      </x:c>
      <x:c r="I52" s="56" t="n">
        <x:f>G52/'01_核心假设'!$B$13</x:f>
        <x:v>4.3</x:v>
      </x:c>
      <x:c r="J52" s="36" t="str">
        <x:f>INDEX('02_境界时间轴'!$I$6:$I$17,A52)</x:f>
        <x:v>MVP</x:v>
      </x:c>
    </x:row>
    <x:row r="53">
      <x:c r="A53" s="30" t="n">
        <x:v>5</x:v>
      </x:c>
      <x:c r="B53" s="36" t="str">
        <x:f>INDEX('02_境界时间轴'!$B$6:$B$17,A53)</x:f>
        <x:v>炼气大圆满</x:v>
      </x:c>
      <x:c r="C53" s="36" t="str">
        <x:f>INDEX('02_境界时间轴'!$C$6:$C$17,A53)</x:f>
        <x:v>炼气</x:v>
      </x:c>
      <x:c r="D53" s="30" t="n">
        <x:v>8</x:v>
      </x:c>
      <x:c r="E53" s="46" t="n">
        <x:f>POWER(D53,'01_核心假设'!$B$37)</x:f>
        <x:v>12.125732532083184</x:v>
      </x:c>
      <x:c r="F53" s="46" t="n">
        <x:f>INDEX('02_境界时间轴'!$E$6:$E$17,A53)</x:f>
        <x:v>9000</x:v>
      </x:c>
      <x:c r="G53" s="46" t="n">
        <x:f>ROUND(F53*E53/SUM($E$46:$E$55),0)</x:f>
        <x:v>1363</x:v>
      </x:c>
      <x:c r="H53" s="46" t="n">
        <x:f>H52+G53</x:f>
        <x:v>20746</x:v>
      </x:c>
      <x:c r="I53" s="56" t="n">
        <x:f>G53/'01_核心假设'!$B$13</x:f>
        <x:v>5.048148148148148</x:v>
      </x:c>
      <x:c r="J53" s="36" t="str">
        <x:f>INDEX('02_境界时间轴'!$I$6:$I$17,A53)</x:f>
        <x:v>MVP</x:v>
      </x:c>
    </x:row>
    <x:row r="54">
      <x:c r="A54" s="30" t="n">
        <x:v>5</x:v>
      </x:c>
      <x:c r="B54" s="36" t="str">
        <x:f>INDEX('02_境界时间轴'!$B$6:$B$17,A54)</x:f>
        <x:v>炼气大圆满</x:v>
      </x:c>
      <x:c r="C54" s="36" t="str">
        <x:f>INDEX('02_境界时间轴'!$C$6:$C$17,A54)</x:f>
        <x:v>炼气</x:v>
      </x:c>
      <x:c r="D54" s="30" t="n">
        <x:v>9</x:v>
      </x:c>
      <x:c r="E54" s="46" t="n">
        <x:f>POWER(D54,'01_核心假设'!$B$37)</x:f>
        <x:v>13.966610165238235</x:v>
      </x:c>
      <x:c r="F54" s="46" t="n">
        <x:f>INDEX('02_境界时间轴'!$E$6:$E$17,A54)</x:f>
        <x:v>9000</x:v>
      </x:c>
      <x:c r="G54" s="46" t="n">
        <x:f>ROUND(F54*E54/SUM($E$46:$E$55),0)</x:f>
        <x:v>1570</x:v>
      </x:c>
      <x:c r="H54" s="46" t="n">
        <x:f>H53+G54</x:f>
        <x:v>22316</x:v>
      </x:c>
      <x:c r="I54" s="56" t="n">
        <x:f>G54/'01_核心假设'!$B$13</x:f>
        <x:v>5.814814814814815</x:v>
      </x:c>
      <x:c r="J54" s="36" t="str">
        <x:f>INDEX('02_境界时间轴'!$I$6:$I$17,A54)</x:f>
        <x:v>MVP</x:v>
      </x:c>
    </x:row>
    <x:row r="55">
      <x:c r="A55" s="30" t="n">
        <x:v>5</x:v>
      </x:c>
      <x:c r="B55" s="36" t="str">
        <x:f>INDEX('02_境界时间轴'!$B$6:$B$17,A55)</x:f>
        <x:v>炼气大圆满</x:v>
      </x:c>
      <x:c r="C55" s="36" t="str">
        <x:f>INDEX('02_境界时间轴'!$C$6:$C$17,A55)</x:f>
        <x:v>炼气</x:v>
      </x:c>
      <x:c r="D55" s="30" t="n">
        <x:v>10</x:v>
      </x:c>
      <x:c r="E55" s="46" t="n">
        <x:f>POWER(D55,'01_核心假设'!$B$37)</x:f>
        <x:v>15.848931924611133</x:v>
      </x:c>
      <x:c r="F55" s="46" t="n">
        <x:f>INDEX('02_境界时间轴'!$E$6:$E$17,A55)</x:f>
        <x:v>9000</x:v>
      </x:c>
      <x:c r="G55" s="46" t="n">
        <x:f>ROUND(F55*E55/SUM($E$46:$E$55),0)</x:f>
        <x:v>1781</x:v>
      </x:c>
      <x:c r="H55" s="46" t="n">
        <x:f>H54+G55</x:f>
        <x:v>24097</x:v>
      </x:c>
      <x:c r="I55" s="56" t="n">
        <x:f>G55/'01_核心假设'!$B$13</x:f>
        <x:v>6.5962962962962965</x:v>
      </x:c>
      <x:c r="J55" s="36" t="str">
        <x:f>INDEX('02_境界时间轴'!$I$6:$I$17,A55)</x:f>
        <x:v>MVP</x:v>
      </x:c>
    </x:row>
    <x:row r="56">
      <x:c r="A56" s="30" t="n">
        <x:v>6</x:v>
      </x:c>
      <x:c r="B56" s="36" t="str">
        <x:f>INDEX('02_境界时间轴'!$B$6:$B$17,A56)</x:f>
        <x:v>筑基初期</x:v>
      </x:c>
      <x:c r="C56" s="36" t="str">
        <x:f>INDEX('02_境界时间轴'!$C$6:$C$17,A56)</x:f>
        <x:v>筑基</x:v>
      </x:c>
      <x:c r="D56" s="30" t="n">
        <x:v>1</x:v>
      </x:c>
      <x:c r="E56" s="46" t="n">
        <x:f>POWER(D56,'01_核心假设'!$B$37)</x:f>
        <x:v>1</x:v>
      </x:c>
      <x:c r="F56" s="46" t="n">
        <x:f>INDEX('02_境界时间轴'!$E$6:$E$17,A56)</x:f>
        <x:v>35000</x:v>
      </x:c>
      <x:c r="G56" s="46" t="n">
        <x:f>ROUND(F56*E56/SUM($E$56:$E$65),0)</x:f>
        <x:v>437</x:v>
      </x:c>
      <x:c r="H56" s="46" t="n">
        <x:f>H55+G56</x:f>
        <x:v>24534</x:v>
      </x:c>
      <x:c r="I56" s="56" t="n">
        <x:f>G56/'01_核心假设'!$B$13</x:f>
        <x:v>1.6185185185185185</x:v>
      </x:c>
      <x:c r="J56" s="36" t="str">
        <x:f>INDEX('02_境界时间轴'!$I$6:$I$17,A56)</x:f>
        <x:v>MVP Endgame</x:v>
      </x:c>
    </x:row>
    <x:row r="57">
      <x:c r="A57" s="30" t="n">
        <x:v>6</x:v>
      </x:c>
      <x:c r="B57" s="36" t="str">
        <x:f>INDEX('02_境界时间轴'!$B$6:$B$17,A57)</x:f>
        <x:v>筑基初期</x:v>
      </x:c>
      <x:c r="C57" s="36" t="str">
        <x:f>INDEX('02_境界时间轴'!$C$6:$C$17,A57)</x:f>
        <x:v>筑基</x:v>
      </x:c>
      <x:c r="D57" s="30" t="n">
        <x:v>2</x:v>
      </x:c>
      <x:c r="E57" s="46" t="n">
        <x:f>POWER(D57,'01_核心假设'!$B$37)</x:f>
        <x:v>2.2973967099940698</x:v>
      </x:c>
      <x:c r="F57" s="46" t="n">
        <x:f>INDEX('02_境界时间轴'!$E$6:$E$17,A57)</x:f>
        <x:v>35000</x:v>
      </x:c>
      <x:c r="G57" s="46" t="n">
        <x:f>ROUND(F57*E57/SUM($E$56:$E$65),0)</x:f>
        <x:v>1004</x:v>
      </x:c>
      <x:c r="H57" s="46" t="n">
        <x:f>H56+G57</x:f>
        <x:v>25538</x:v>
      </x:c>
      <x:c r="I57" s="56" t="n">
        <x:f>G57/'01_核心假设'!$B$13</x:f>
        <x:v>3.7185185185185183</x:v>
      </x:c>
      <x:c r="J57" s="36" t="str">
        <x:f>INDEX('02_境界时间轴'!$I$6:$I$17,A57)</x:f>
        <x:v>MVP Endgame</x:v>
      </x:c>
    </x:row>
    <x:row r="58">
      <x:c r="A58" s="30" t="n">
        <x:v>6</x:v>
      </x:c>
      <x:c r="B58" s="36" t="str">
        <x:f>INDEX('02_境界时间轴'!$B$6:$B$17,A58)</x:f>
        <x:v>筑基初期</x:v>
      </x:c>
      <x:c r="C58" s="36" t="str">
        <x:f>INDEX('02_境界时间轴'!$C$6:$C$17,A58)</x:f>
        <x:v>筑基</x:v>
      </x:c>
      <x:c r="D58" s="30" t="n">
        <x:v>3</x:v>
      </x:c>
      <x:c r="E58" s="46" t="n">
        <x:f>POWER(D58,'01_核心假设'!$B$37)</x:f>
        <x:v>3.7371928188465517</x:v>
      </x:c>
      <x:c r="F58" s="46" t="n">
        <x:f>INDEX('02_境界时间轴'!$E$6:$E$17,A58)</x:f>
        <x:v>35000</x:v>
      </x:c>
      <x:c r="G58" s="46" t="n">
        <x:f>ROUND(F58*E58/SUM($E$56:$E$65),0)</x:f>
        <x:v>1634</x:v>
      </x:c>
      <x:c r="H58" s="46" t="n">
        <x:f>H57+G58</x:f>
        <x:v>27172</x:v>
      </x:c>
      <x:c r="I58" s="56" t="n">
        <x:f>G58/'01_核心假设'!$B$13</x:f>
        <x:v>6.051851851851852</x:v>
      </x:c>
      <x:c r="J58" s="36" t="str">
        <x:f>INDEX('02_境界时间轴'!$I$6:$I$17,A58)</x:f>
        <x:v>MVP Endgame</x:v>
      </x:c>
    </x:row>
    <x:row r="59">
      <x:c r="A59" s="30" t="n">
        <x:v>6</x:v>
      </x:c>
      <x:c r="B59" s="36" t="str">
        <x:f>INDEX('02_境界时间轴'!$B$6:$B$17,A59)</x:f>
        <x:v>筑基初期</x:v>
      </x:c>
      <x:c r="C59" s="36" t="str">
        <x:f>INDEX('02_境界时间轴'!$C$6:$C$17,A59)</x:f>
        <x:v>筑基</x:v>
      </x:c>
      <x:c r="D59" s="30" t="n">
        <x:v>4</x:v>
      </x:c>
      <x:c r="E59" s="46" t="n">
        <x:f>POWER(D59,'01_核心假设'!$B$37)</x:f>
        <x:v>5.278031643091577</x:v>
      </x:c>
      <x:c r="F59" s="46" t="n">
        <x:f>INDEX('02_境界时间轴'!$E$6:$E$17,A59)</x:f>
        <x:v>35000</x:v>
      </x:c>
      <x:c r="G59" s="46" t="n">
        <x:f>ROUND(F59*E59/SUM($E$56:$E$65),0)</x:f>
        <x:v>2307</x:v>
      </x:c>
      <x:c r="H59" s="46" t="n">
        <x:f>H58+G59</x:f>
        <x:v>29479</x:v>
      </x:c>
      <x:c r="I59" s="56" t="n">
        <x:f>G59/'01_核心假设'!$B$13</x:f>
        <x:v>8.544444444444444</x:v>
      </x:c>
      <x:c r="J59" s="36" t="str">
        <x:f>INDEX('02_境界时间轴'!$I$6:$I$17,A59)</x:f>
        <x:v>MVP Endgame</x:v>
      </x:c>
    </x:row>
    <x:row r="60">
      <x:c r="A60" s="30" t="n">
        <x:v>6</x:v>
      </x:c>
      <x:c r="B60" s="36" t="str">
        <x:f>INDEX('02_境界时间轴'!$B$6:$B$17,A60)</x:f>
        <x:v>筑基初期</x:v>
      </x:c>
      <x:c r="C60" s="36" t="str">
        <x:f>INDEX('02_境界时间轴'!$C$6:$C$17,A60)</x:f>
        <x:v>筑基</x:v>
      </x:c>
      <x:c r="D60" s="30" t="n">
        <x:v>5</x:v>
      </x:c>
      <x:c r="E60" s="46" t="n">
        <x:f>POWER(D60,'01_核心假设'!$B$37)</x:f>
        <x:v>6.898648307306074</x:v>
      </x:c>
      <x:c r="F60" s="46" t="n">
        <x:f>INDEX('02_境界时间轴'!$E$6:$E$17,A60)</x:f>
        <x:v>35000</x:v>
      </x:c>
      <x:c r="G60" s="46" t="n">
        <x:f>ROUND(F60*E60/SUM($E$56:$E$65),0)</x:f>
        <x:v>3016</x:v>
      </x:c>
      <x:c r="H60" s="46" t="n">
        <x:f>H59+G60</x:f>
        <x:v>32495</x:v>
      </x:c>
      <x:c r="I60" s="56" t="n">
        <x:f>G60/'01_核心假设'!$B$13</x:f>
        <x:v>11.170370370370371</x:v>
      </x:c>
      <x:c r="J60" s="36" t="str">
        <x:f>INDEX('02_境界时间轴'!$I$6:$I$17,A60)</x:f>
        <x:v>MVP Endgame</x:v>
      </x:c>
    </x:row>
    <x:row r="61">
      <x:c r="A61" s="30" t="n">
        <x:v>6</x:v>
      </x:c>
      <x:c r="B61" s="36" t="str">
        <x:f>INDEX('02_境界时间轴'!$B$6:$B$17,A61)</x:f>
        <x:v>筑基初期</x:v>
      </x:c>
      <x:c r="C61" s="36" t="str">
        <x:f>INDEX('02_境界时间轴'!$C$6:$C$17,A61)</x:f>
        <x:v>筑基</x:v>
      </x:c>
      <x:c r="D61" s="30" t="n">
        <x:v>6</x:v>
      </x:c>
      <x:c r="E61" s="46" t="n">
        <x:f>POWER(D61,'01_核心假设'!$B$37)</x:f>
        <x:v>8.585814486631532</x:v>
      </x:c>
      <x:c r="F61" s="46" t="n">
        <x:f>INDEX('02_境界时间轴'!$E$6:$E$17,A61)</x:f>
        <x:v>35000</x:v>
      </x:c>
      <x:c r="G61" s="46" t="n">
        <x:f>ROUND(F61*E61/SUM($E$56:$E$65),0)</x:f>
        <x:v>3753</x:v>
      </x:c>
      <x:c r="H61" s="46" t="n">
        <x:f>H60+G61</x:f>
        <x:v>36248</x:v>
      </x:c>
      <x:c r="I61" s="56" t="n">
        <x:f>G61/'01_核心假设'!$B$13</x:f>
        <x:v>13.9</x:v>
      </x:c>
      <x:c r="J61" s="36" t="str">
        <x:f>INDEX('02_境界时间轴'!$I$6:$I$17,A61)</x:f>
        <x:v>MVP Endgame</x:v>
      </x:c>
    </x:row>
    <x:row r="62">
      <x:c r="A62" s="30" t="n">
        <x:v>6</x:v>
      </x:c>
      <x:c r="B62" s="36" t="str">
        <x:f>INDEX('02_境界时间轴'!$B$6:$B$17,A62)</x:f>
        <x:v>筑基初期</x:v>
      </x:c>
      <x:c r="C62" s="36" t="str">
        <x:f>INDEX('02_境界时间轴'!$C$6:$C$17,A62)</x:f>
        <x:v>筑基</x:v>
      </x:c>
      <x:c r="D62" s="30" t="n">
        <x:v>7</x:v>
      </x:c>
      <x:c r="E62" s="46" t="n">
        <x:f>POWER(D62,'01_核心假设'!$B$37)</x:f>
        <x:v>10.330412131161864</x:v>
      </x:c>
      <x:c r="F62" s="46" t="n">
        <x:f>INDEX('02_境界时间轴'!$E$6:$E$17,A62)</x:f>
        <x:v>35000</x:v>
      </x:c>
      <x:c r="G62" s="46" t="n">
        <x:f>ROUND(F62*E62/SUM($E$56:$E$65),0)</x:f>
        <x:v>4516</x:v>
      </x:c>
      <x:c r="H62" s="46" t="n">
        <x:f>H61+G62</x:f>
        <x:v>40764</x:v>
      </x:c>
      <x:c r="I62" s="56" t="n">
        <x:f>G62/'01_核心假设'!$B$13</x:f>
        <x:v>16.725925925925925</x:v>
      </x:c>
      <x:c r="J62" s="36" t="str">
        <x:f>INDEX('02_境界时间轴'!$I$6:$I$17,A62)</x:f>
        <x:v>MVP Endgame</x:v>
      </x:c>
    </x:row>
    <x:row r="63">
      <x:c r="A63" s="30" t="n">
        <x:v>6</x:v>
      </x:c>
      <x:c r="B63" s="36" t="str">
        <x:f>INDEX('02_境界时间轴'!$B$6:$B$17,A63)</x:f>
        <x:v>筑基初期</x:v>
      </x:c>
      <x:c r="C63" s="36" t="str">
        <x:f>INDEX('02_境界时间轴'!$C$6:$C$17,A63)</x:f>
        <x:v>筑基</x:v>
      </x:c>
      <x:c r="D63" s="30" t="n">
        <x:v>8</x:v>
      </x:c>
      <x:c r="E63" s="46" t="n">
        <x:f>POWER(D63,'01_核心假设'!$B$37)</x:f>
        <x:v>12.125732532083184</x:v>
      </x:c>
      <x:c r="F63" s="46" t="n">
        <x:f>INDEX('02_境界时间轴'!$E$6:$E$17,A63)</x:f>
        <x:v>35000</x:v>
      </x:c>
      <x:c r="G63" s="46" t="n">
        <x:f>ROUND(F63*E63/SUM($E$56:$E$65),0)</x:f>
        <x:v>5300</x:v>
      </x:c>
      <x:c r="H63" s="46" t="n">
        <x:f>H62+G63</x:f>
        <x:v>46064</x:v>
      </x:c>
      <x:c r="I63" s="56" t="n">
        <x:f>G63/'01_核心假设'!$B$13</x:f>
        <x:v>19.62962962962963</x:v>
      </x:c>
      <x:c r="J63" s="36" t="str">
        <x:f>INDEX('02_境界时间轴'!$I$6:$I$17,A63)</x:f>
        <x:v>MVP Endgame</x:v>
      </x:c>
    </x:row>
    <x:row r="64">
      <x:c r="A64" s="30" t="n">
        <x:v>6</x:v>
      </x:c>
      <x:c r="B64" s="36" t="str">
        <x:f>INDEX('02_境界时间轴'!$B$6:$B$17,A64)</x:f>
        <x:v>筑基初期</x:v>
      </x:c>
      <x:c r="C64" s="36" t="str">
        <x:f>INDEX('02_境界时间轴'!$C$6:$C$17,A64)</x:f>
        <x:v>筑基</x:v>
      </x:c>
      <x:c r="D64" s="30" t="n">
        <x:v>9</x:v>
      </x:c>
      <x:c r="E64" s="46" t="n">
        <x:f>POWER(D64,'01_核心假设'!$B$37)</x:f>
        <x:v>13.966610165238235</x:v>
      </x:c>
      <x:c r="F64" s="46" t="n">
        <x:f>INDEX('02_境界时间轴'!$E$6:$E$17,A64)</x:f>
        <x:v>35000</x:v>
      </x:c>
      <x:c r="G64" s="46" t="n">
        <x:f>ROUND(F64*E64/SUM($E$56:$E$65),0)</x:f>
        <x:v>6105</x:v>
      </x:c>
      <x:c r="H64" s="46" t="n">
        <x:f>H63+G64</x:f>
        <x:v>52169</x:v>
      </x:c>
      <x:c r="I64" s="56" t="n">
        <x:f>G64/'01_核心假设'!$B$13</x:f>
        <x:v>22.61111111111111</x:v>
      </x:c>
      <x:c r="J64" s="36" t="str">
        <x:f>INDEX('02_境界时间轴'!$I$6:$I$17,A64)</x:f>
        <x:v>MVP Endgame</x:v>
      </x:c>
    </x:row>
    <x:row r="65">
      <x:c r="A65" s="30" t="n">
        <x:v>6</x:v>
      </x:c>
      <x:c r="B65" s="36" t="str">
        <x:f>INDEX('02_境界时间轴'!$B$6:$B$17,A65)</x:f>
        <x:v>筑基初期</x:v>
      </x:c>
      <x:c r="C65" s="36" t="str">
        <x:f>INDEX('02_境界时间轴'!$C$6:$C$17,A65)</x:f>
        <x:v>筑基</x:v>
      </x:c>
      <x:c r="D65" s="30" t="n">
        <x:v>10</x:v>
      </x:c>
      <x:c r="E65" s="46" t="n">
        <x:f>POWER(D65,'01_核心假设'!$B$37)</x:f>
        <x:v>15.848931924611133</x:v>
      </x:c>
      <x:c r="F65" s="46" t="n">
        <x:f>INDEX('02_境界时间轴'!$E$6:$E$17,A65)</x:f>
        <x:v>35000</x:v>
      </x:c>
      <x:c r="G65" s="46" t="n">
        <x:f>ROUND(F65*E65/SUM($E$56:$E$65),0)</x:f>
        <x:v>6928</x:v>
      </x:c>
      <x:c r="H65" s="46" t="n">
        <x:f>H64+G65</x:f>
        <x:v>59097</x:v>
      </x:c>
      <x:c r="I65" s="56" t="n">
        <x:f>G65/'01_核心假设'!$B$13</x:f>
        <x:v>25.659259259259258</x:v>
      </x:c>
      <x:c r="J65" s="36" t="str">
        <x:f>INDEX('02_境界时间轴'!$I$6:$I$17,A65)</x:f>
        <x:v>MVP Endgame</x:v>
      </x:c>
    </x:row>
    <x:row r="66">
      <x:c r="A66" s="30" t="n">
        <x:v>7</x:v>
      </x:c>
      <x:c r="B66" s="36" t="str">
        <x:f>INDEX('02_境界时间轴'!$B$6:$B$17,A66)</x:f>
        <x:v>筑基中期</x:v>
      </x:c>
      <x:c r="C66" s="36" t="str">
        <x:f>INDEX('02_境界时间轴'!$C$6:$C$17,A66)</x:f>
        <x:v>筑基</x:v>
      </x:c>
      <x:c r="D66" s="30" t="n">
        <x:v>1</x:v>
      </x:c>
      <x:c r="E66" s="46" t="n">
        <x:f>POWER(D66,'01_核心假设'!$B$37)</x:f>
        <x:v>1</x:v>
      </x:c>
      <x:c r="F66" s="46" t="n">
        <x:f>INDEX('02_境界时间轴'!$E$6:$E$17,A66)</x:f>
        <x:v>45000</x:v>
      </x:c>
      <x:c r="G66" s="46" t="n">
        <x:f>ROUND(F66*E66/SUM($E$66:$E$75),0)</x:f>
        <x:v>562</x:v>
      </x:c>
      <x:c r="H66" s="46" t="n">
        <x:f>H65+G66</x:f>
        <x:v>59659</x:v>
      </x:c>
      <x:c r="I66" s="56" t="n">
        <x:f>G66/'01_核心假设'!$B$13</x:f>
        <x:v>2.0814814814814815</x:v>
      </x:c>
      <x:c r="J66" s="36" t="str">
        <x:f>INDEX('02_境界时间轴'!$I$6:$I$17,A66)</x:f>
        <x:v>MVP Endgame</x:v>
      </x:c>
    </x:row>
    <x:row r="67">
      <x:c r="A67" s="30" t="n">
        <x:v>7</x:v>
      </x:c>
      <x:c r="B67" s="36" t="str">
        <x:f>INDEX('02_境界时间轴'!$B$6:$B$17,A67)</x:f>
        <x:v>筑基中期</x:v>
      </x:c>
      <x:c r="C67" s="36" t="str">
        <x:f>INDEX('02_境界时间轴'!$C$6:$C$17,A67)</x:f>
        <x:v>筑基</x:v>
      </x:c>
      <x:c r="D67" s="30" t="n">
        <x:v>2</x:v>
      </x:c>
      <x:c r="E67" s="46" t="n">
        <x:f>POWER(D67,'01_核心假设'!$B$37)</x:f>
        <x:v>2.2973967099940698</x:v>
      </x:c>
      <x:c r="F67" s="46" t="n">
        <x:f>INDEX('02_境界时间轴'!$E$6:$E$17,A67)</x:f>
        <x:v>45000</x:v>
      </x:c>
      <x:c r="G67" s="46" t="n">
        <x:f>ROUND(F67*E67/SUM($E$66:$E$75),0)</x:f>
        <x:v>1291</x:v>
      </x:c>
      <x:c r="H67" s="46" t="n">
        <x:f>H66+G67</x:f>
        <x:v>60950</x:v>
      </x:c>
      <x:c r="I67" s="56" t="n">
        <x:f>G67/'01_核心假设'!$B$13</x:f>
        <x:v>4.781481481481482</x:v>
      </x:c>
      <x:c r="J67" s="36" t="str">
        <x:f>INDEX('02_境界时间轴'!$I$6:$I$17,A67)</x:f>
        <x:v>MVP Endgame</x:v>
      </x:c>
    </x:row>
    <x:row r="68">
      <x:c r="A68" s="30" t="n">
        <x:v>7</x:v>
      </x:c>
      <x:c r="B68" s="36" t="str">
        <x:f>INDEX('02_境界时间轴'!$B$6:$B$17,A68)</x:f>
        <x:v>筑基中期</x:v>
      </x:c>
      <x:c r="C68" s="36" t="str">
        <x:f>INDEX('02_境界时间轴'!$C$6:$C$17,A68)</x:f>
        <x:v>筑基</x:v>
      </x:c>
      <x:c r="D68" s="30" t="n">
        <x:v>3</x:v>
      </x:c>
      <x:c r="E68" s="46" t="n">
        <x:f>POWER(D68,'01_核心假设'!$B$37)</x:f>
        <x:v>3.7371928188465517</x:v>
      </x:c>
      <x:c r="F68" s="46" t="n">
        <x:f>INDEX('02_境界时间轴'!$E$6:$E$17,A68)</x:f>
        <x:v>45000</x:v>
      </x:c>
      <x:c r="G68" s="46" t="n">
        <x:f>ROUND(F68*E68/SUM($E$66:$E$75),0)</x:f>
        <x:v>2100</x:v>
      </x:c>
      <x:c r="H68" s="46" t="n">
        <x:f>H67+G68</x:f>
        <x:v>63050</x:v>
      </x:c>
      <x:c r="I68" s="56" t="n">
        <x:f>G68/'01_核心假设'!$B$13</x:f>
        <x:v>7.777777777777778</x:v>
      </x:c>
      <x:c r="J68" s="36" t="str">
        <x:f>INDEX('02_境界时间轴'!$I$6:$I$17,A68)</x:f>
        <x:v>MVP Endgame</x:v>
      </x:c>
    </x:row>
    <x:row r="69">
      <x:c r="A69" s="30" t="n">
        <x:v>7</x:v>
      </x:c>
      <x:c r="B69" s="36" t="str">
        <x:f>INDEX('02_境界时间轴'!$B$6:$B$17,A69)</x:f>
        <x:v>筑基中期</x:v>
      </x:c>
      <x:c r="C69" s="36" t="str">
        <x:f>INDEX('02_境界时间轴'!$C$6:$C$17,A69)</x:f>
        <x:v>筑基</x:v>
      </x:c>
      <x:c r="D69" s="30" t="n">
        <x:v>4</x:v>
      </x:c>
      <x:c r="E69" s="46" t="n">
        <x:f>POWER(D69,'01_核心假设'!$B$37)</x:f>
        <x:v>5.278031643091577</x:v>
      </x:c>
      <x:c r="F69" s="46" t="n">
        <x:f>INDEX('02_境界时间轴'!$E$6:$E$17,A69)</x:f>
        <x:v>45000</x:v>
      </x:c>
      <x:c r="G69" s="46" t="n">
        <x:f>ROUND(F69*E69/SUM($E$66:$E$75),0)</x:f>
        <x:v>2966</x:v>
      </x:c>
      <x:c r="H69" s="46" t="n">
        <x:f>H68+G69</x:f>
        <x:v>66016</x:v>
      </x:c>
      <x:c r="I69" s="56" t="n">
        <x:f>G69/'01_核心假设'!$B$13</x:f>
        <x:v>10.985185185185186</x:v>
      </x:c>
      <x:c r="J69" s="36" t="str">
        <x:f>INDEX('02_境界时间轴'!$I$6:$I$17,A69)</x:f>
        <x:v>MVP Endgame</x:v>
      </x:c>
    </x:row>
    <x:row r="70">
      <x:c r="A70" s="30" t="n">
        <x:v>7</x:v>
      </x:c>
      <x:c r="B70" s="36" t="str">
        <x:f>INDEX('02_境界时间轴'!$B$6:$B$17,A70)</x:f>
        <x:v>筑基中期</x:v>
      </x:c>
      <x:c r="C70" s="36" t="str">
        <x:f>INDEX('02_境界时间轴'!$C$6:$C$17,A70)</x:f>
        <x:v>筑基</x:v>
      </x:c>
      <x:c r="D70" s="30" t="n">
        <x:v>5</x:v>
      </x:c>
      <x:c r="E70" s="46" t="n">
        <x:f>POWER(D70,'01_核心假设'!$B$37)</x:f>
        <x:v>6.898648307306074</x:v>
      </x:c>
      <x:c r="F70" s="46" t="n">
        <x:f>INDEX('02_境界时间轴'!$E$6:$E$17,A70)</x:f>
        <x:v>45000</x:v>
      </x:c>
      <x:c r="G70" s="46" t="n">
        <x:f>ROUND(F70*E70/SUM($E$66:$E$75),0)</x:f>
        <x:v>3877</x:v>
      </x:c>
      <x:c r="H70" s="46" t="n">
        <x:f>H69+G70</x:f>
        <x:v>69893</x:v>
      </x:c>
      <x:c r="I70" s="56" t="n">
        <x:f>G70/'01_核心假设'!$B$13</x:f>
        <x:v>14.35925925925926</x:v>
      </x:c>
      <x:c r="J70" s="36" t="str">
        <x:f>INDEX('02_境界时间轴'!$I$6:$I$17,A70)</x:f>
        <x:v>MVP Endgame</x:v>
      </x:c>
    </x:row>
    <x:row r="71">
      <x:c r="A71" s="30" t="n">
        <x:v>7</x:v>
      </x:c>
      <x:c r="B71" s="36" t="str">
        <x:f>INDEX('02_境界时间轴'!$B$6:$B$17,A71)</x:f>
        <x:v>筑基中期</x:v>
      </x:c>
      <x:c r="C71" s="36" t="str">
        <x:f>INDEX('02_境界时间轴'!$C$6:$C$17,A71)</x:f>
        <x:v>筑基</x:v>
      </x:c>
      <x:c r="D71" s="30" t="n">
        <x:v>6</x:v>
      </x:c>
      <x:c r="E71" s="46" t="n">
        <x:f>POWER(D71,'01_核心假设'!$B$37)</x:f>
        <x:v>8.585814486631532</x:v>
      </x:c>
      <x:c r="F71" s="46" t="n">
        <x:f>INDEX('02_境界时间轴'!$E$6:$E$17,A71)</x:f>
        <x:v>45000</x:v>
      </x:c>
      <x:c r="G71" s="46" t="n">
        <x:f>ROUND(F71*E71/SUM($E$66:$E$75),0)</x:f>
        <x:v>4825</x:v>
      </x:c>
      <x:c r="H71" s="46" t="n">
        <x:f>H70+G71</x:f>
        <x:v>74718</x:v>
      </x:c>
      <x:c r="I71" s="56" t="n">
        <x:f>G71/'01_核心假设'!$B$13</x:f>
        <x:v>17.87037037037037</x:v>
      </x:c>
      <x:c r="J71" s="36" t="str">
        <x:f>INDEX('02_境界时间轴'!$I$6:$I$17,A71)</x:f>
        <x:v>MVP Endgame</x:v>
      </x:c>
    </x:row>
    <x:row r="72">
      <x:c r="A72" s="30" t="n">
        <x:v>7</x:v>
      </x:c>
      <x:c r="B72" s="36" t="str">
        <x:f>INDEX('02_境界时间轴'!$B$6:$B$17,A72)</x:f>
        <x:v>筑基中期</x:v>
      </x:c>
      <x:c r="C72" s="36" t="str">
        <x:f>INDEX('02_境界时间轴'!$C$6:$C$17,A72)</x:f>
        <x:v>筑基</x:v>
      </x:c>
      <x:c r="D72" s="30" t="n">
        <x:v>7</x:v>
      </x:c>
      <x:c r="E72" s="46" t="n">
        <x:f>POWER(D72,'01_核心假设'!$B$37)</x:f>
        <x:v>10.330412131161864</x:v>
      </x:c>
      <x:c r="F72" s="46" t="n">
        <x:f>INDEX('02_境界时间轴'!$E$6:$E$17,A72)</x:f>
        <x:v>45000</x:v>
      </x:c>
      <x:c r="G72" s="46" t="n">
        <x:f>ROUND(F72*E72/SUM($E$66:$E$75),0)</x:f>
        <x:v>5806</x:v>
      </x:c>
      <x:c r="H72" s="46" t="n">
        <x:f>H71+G72</x:f>
        <x:v>80524</x:v>
      </x:c>
      <x:c r="I72" s="56" t="n">
        <x:f>G72/'01_核心假设'!$B$13</x:f>
        <x:v>21.503703703703703</x:v>
      </x:c>
      <x:c r="J72" s="36" t="str">
        <x:f>INDEX('02_境界时间轴'!$I$6:$I$17,A72)</x:f>
        <x:v>MVP Endgame</x:v>
      </x:c>
    </x:row>
    <x:row r="73">
      <x:c r="A73" s="30" t="n">
        <x:v>7</x:v>
      </x:c>
      <x:c r="B73" s="36" t="str">
        <x:f>INDEX('02_境界时间轴'!$B$6:$B$17,A73)</x:f>
        <x:v>筑基中期</x:v>
      </x:c>
      <x:c r="C73" s="36" t="str">
        <x:f>INDEX('02_境界时间轴'!$C$6:$C$17,A73)</x:f>
        <x:v>筑基</x:v>
      </x:c>
      <x:c r="D73" s="30" t="n">
        <x:v>8</x:v>
      </x:c>
      <x:c r="E73" s="46" t="n">
        <x:f>POWER(D73,'01_核心假设'!$B$37)</x:f>
        <x:v>12.125732532083184</x:v>
      </x:c>
      <x:c r="F73" s="46" t="n">
        <x:f>INDEX('02_境界时间轴'!$E$6:$E$17,A73)</x:f>
        <x:v>45000</x:v>
      </x:c>
      <x:c r="G73" s="46" t="n">
        <x:f>ROUND(F73*E73/SUM($E$66:$E$75),0)</x:f>
        <x:v>6815</x:v>
      </x:c>
      <x:c r="H73" s="46" t="n">
        <x:f>H72+G73</x:f>
        <x:v>87339</x:v>
      </x:c>
      <x:c r="I73" s="56" t="n">
        <x:f>G73/'01_核心假设'!$B$13</x:f>
        <x:v>25.24074074074074</x:v>
      </x:c>
      <x:c r="J73" s="36" t="str">
        <x:f>INDEX('02_境界时间轴'!$I$6:$I$17,A73)</x:f>
        <x:v>MVP Endgame</x:v>
      </x:c>
    </x:row>
    <x:row r="74">
      <x:c r="A74" s="30" t="n">
        <x:v>7</x:v>
      </x:c>
      <x:c r="B74" s="36" t="str">
        <x:f>INDEX('02_境界时间轴'!$B$6:$B$17,A74)</x:f>
        <x:v>筑基中期</x:v>
      </x:c>
      <x:c r="C74" s="36" t="str">
        <x:f>INDEX('02_境界时间轴'!$C$6:$C$17,A74)</x:f>
        <x:v>筑基</x:v>
      </x:c>
      <x:c r="D74" s="30" t="n">
        <x:v>9</x:v>
      </x:c>
      <x:c r="E74" s="46" t="n">
        <x:f>POWER(D74,'01_核心假设'!$B$37)</x:f>
        <x:v>13.966610165238235</x:v>
      </x:c>
      <x:c r="F74" s="46" t="n">
        <x:f>INDEX('02_境界时间轴'!$E$6:$E$17,A74)</x:f>
        <x:v>45000</x:v>
      </x:c>
      <x:c r="G74" s="46" t="n">
        <x:f>ROUND(F74*E74/SUM($E$66:$E$75),0)</x:f>
        <x:v>7849</x:v>
      </x:c>
      <x:c r="H74" s="46" t="n">
        <x:f>H73+G74</x:f>
        <x:v>95188</x:v>
      </x:c>
      <x:c r="I74" s="56" t="n">
        <x:f>G74/'01_核心假设'!$B$13</x:f>
        <x:v>29.07037037037037</x:v>
      </x:c>
      <x:c r="J74" s="36" t="str">
        <x:f>INDEX('02_境界时间轴'!$I$6:$I$17,A74)</x:f>
        <x:v>MVP Endgame</x:v>
      </x:c>
    </x:row>
    <x:row r="75">
      <x:c r="A75" s="30" t="n">
        <x:v>7</x:v>
      </x:c>
      <x:c r="B75" s="36" t="str">
        <x:f>INDEX('02_境界时间轴'!$B$6:$B$17,A75)</x:f>
        <x:v>筑基中期</x:v>
      </x:c>
      <x:c r="C75" s="36" t="str">
        <x:f>INDEX('02_境界时间轴'!$C$6:$C$17,A75)</x:f>
        <x:v>筑基</x:v>
      </x:c>
      <x:c r="D75" s="30" t="n">
        <x:v>10</x:v>
      </x:c>
      <x:c r="E75" s="46" t="n">
        <x:f>POWER(D75,'01_核心假设'!$B$37)</x:f>
        <x:v>15.848931924611133</x:v>
      </x:c>
      <x:c r="F75" s="46" t="n">
        <x:f>INDEX('02_境界时间轴'!$E$6:$E$17,A75)</x:f>
        <x:v>45000</x:v>
      </x:c>
      <x:c r="G75" s="46" t="n">
        <x:f>ROUND(F75*E75/SUM($E$66:$E$75),0)</x:f>
        <x:v>8907</x:v>
      </x:c>
      <x:c r="H75" s="46" t="n">
        <x:f>H74+G75</x:f>
        <x:v>104095</x:v>
      </x:c>
      <x:c r="I75" s="56" t="n">
        <x:f>G75/'01_核心假设'!$B$13</x:f>
        <x:v>32.98888888888889</x:v>
      </x:c>
      <x:c r="J75" s="36" t="str">
        <x:f>INDEX('02_境界时间轴'!$I$6:$I$17,A75)</x:f>
        <x:v>MVP Endgame</x:v>
      </x:c>
    </x:row>
    <x:row r="76">
      <x:c r="A76" s="30" t="n">
        <x:v>8</x:v>
      </x:c>
      <x:c r="B76" s="36" t="str">
        <x:f>INDEX('02_境界时间轴'!$B$6:$B$17,A76)</x:f>
        <x:v>筑基后期</x:v>
      </x:c>
      <x:c r="C76" s="36" t="str">
        <x:f>INDEX('02_境界时间轴'!$C$6:$C$17,A76)</x:f>
        <x:v>筑基</x:v>
      </x:c>
      <x:c r="D76" s="30" t="n">
        <x:v>1</x:v>
      </x:c>
      <x:c r="E76" s="46" t="n">
        <x:f>POWER(D76,'01_核心假设'!$B$37)</x:f>
        <x:v>1</x:v>
      </x:c>
      <x:c r="F76" s="46" t="n">
        <x:f>INDEX('02_境界时间轴'!$E$6:$E$17,A76)</x:f>
        <x:v>50000</x:v>
      </x:c>
      <x:c r="G76" s="46" t="n">
        <x:f>ROUND(F76*E76/SUM($E$76:$E$85),0)</x:f>
        <x:v>624</x:v>
      </x:c>
      <x:c r="H76" s="46" t="n">
        <x:f>H75+G76</x:f>
        <x:v>104719</x:v>
      </x:c>
      <x:c r="I76" s="56" t="n">
        <x:f>G76/'01_核心假设'!$B$13</x:f>
        <x:v>2.311111111111111</x:v>
      </x:c>
      <x:c r="J76" s="36" t="str">
        <x:f>INDEX('02_境界时间轴'!$I$6:$I$17,A76)</x:f>
        <x:v>扩展</x:v>
      </x:c>
    </x:row>
    <x:row r="77">
      <x:c r="A77" s="30" t="n">
        <x:v>8</x:v>
      </x:c>
      <x:c r="B77" s="36" t="str">
        <x:f>INDEX('02_境界时间轴'!$B$6:$B$17,A77)</x:f>
        <x:v>筑基后期</x:v>
      </x:c>
      <x:c r="C77" s="36" t="str">
        <x:f>INDEX('02_境界时间轴'!$C$6:$C$17,A77)</x:f>
        <x:v>筑基</x:v>
      </x:c>
      <x:c r="D77" s="30" t="n">
        <x:v>2</x:v>
      </x:c>
      <x:c r="E77" s="46" t="n">
        <x:f>POWER(D77,'01_核心假设'!$B$37)</x:f>
        <x:v>2.2973967099940698</x:v>
      </x:c>
      <x:c r="F77" s="46" t="n">
        <x:f>INDEX('02_境界时间轴'!$E$6:$E$17,A77)</x:f>
        <x:v>50000</x:v>
      </x:c>
      <x:c r="G77" s="46" t="n">
        <x:f>ROUND(F77*E77/SUM($E$76:$E$85),0)</x:f>
        <x:v>1435</x:v>
      </x:c>
      <x:c r="H77" s="46" t="n">
        <x:f>H76+G77</x:f>
        <x:v>106154</x:v>
      </x:c>
      <x:c r="I77" s="56" t="n">
        <x:f>G77/'01_核心假设'!$B$13</x:f>
        <x:v>5.314814814814815</x:v>
      </x:c>
      <x:c r="J77" s="36" t="str">
        <x:f>INDEX('02_境界时间轴'!$I$6:$I$17,A77)</x:f>
        <x:v>扩展</x:v>
      </x:c>
    </x:row>
    <x:row r="78">
      <x:c r="A78" s="30" t="n">
        <x:v>8</x:v>
      </x:c>
      <x:c r="B78" s="36" t="str">
        <x:f>INDEX('02_境界时间轴'!$B$6:$B$17,A78)</x:f>
        <x:v>筑基后期</x:v>
      </x:c>
      <x:c r="C78" s="36" t="str">
        <x:f>INDEX('02_境界时间轴'!$C$6:$C$17,A78)</x:f>
        <x:v>筑基</x:v>
      </x:c>
      <x:c r="D78" s="30" t="n">
        <x:v>3</x:v>
      </x:c>
      <x:c r="E78" s="46" t="n">
        <x:f>POWER(D78,'01_核心假设'!$B$37)</x:f>
        <x:v>3.7371928188465517</x:v>
      </x:c>
      <x:c r="F78" s="46" t="n">
        <x:f>INDEX('02_境界时间轴'!$E$6:$E$17,A78)</x:f>
        <x:v>50000</x:v>
      </x:c>
      <x:c r="G78" s="46" t="n">
        <x:f>ROUND(F78*E78/SUM($E$76:$E$85),0)</x:f>
        <x:v>2334</x:v>
      </x:c>
      <x:c r="H78" s="46" t="n">
        <x:f>H77+G78</x:f>
        <x:v>108488</x:v>
      </x:c>
      <x:c r="I78" s="56" t="n">
        <x:f>G78/'01_核心假设'!$B$13</x:f>
        <x:v>8.644444444444444</x:v>
      </x:c>
      <x:c r="J78" s="36" t="str">
        <x:f>INDEX('02_境界时间轴'!$I$6:$I$17,A78)</x:f>
        <x:v>扩展</x:v>
      </x:c>
    </x:row>
    <x:row r="79">
      <x:c r="A79" s="30" t="n">
        <x:v>8</x:v>
      </x:c>
      <x:c r="B79" s="36" t="str">
        <x:f>INDEX('02_境界时间轴'!$B$6:$B$17,A79)</x:f>
        <x:v>筑基后期</x:v>
      </x:c>
      <x:c r="C79" s="36" t="str">
        <x:f>INDEX('02_境界时间轴'!$C$6:$C$17,A79)</x:f>
        <x:v>筑基</x:v>
      </x:c>
      <x:c r="D79" s="30" t="n">
        <x:v>4</x:v>
      </x:c>
      <x:c r="E79" s="46" t="n">
        <x:f>POWER(D79,'01_核心假设'!$B$37)</x:f>
        <x:v>5.278031643091577</x:v>
      </x:c>
      <x:c r="F79" s="46" t="n">
        <x:f>INDEX('02_境界时间轴'!$E$6:$E$17,A79)</x:f>
        <x:v>50000</x:v>
      </x:c>
      <x:c r="G79" s="46" t="n">
        <x:f>ROUND(F79*E79/SUM($E$76:$E$85),0)</x:f>
        <x:v>3296</x:v>
      </x:c>
      <x:c r="H79" s="46" t="n">
        <x:f>H78+G79</x:f>
        <x:v>111784</x:v>
      </x:c>
      <x:c r="I79" s="56" t="n">
        <x:f>G79/'01_核心假设'!$B$13</x:f>
        <x:v>12.207407407407407</x:v>
      </x:c>
      <x:c r="J79" s="36" t="str">
        <x:f>INDEX('02_境界时间轴'!$I$6:$I$17,A79)</x:f>
        <x:v>扩展</x:v>
      </x:c>
    </x:row>
    <x:row r="80">
      <x:c r="A80" s="30" t="n">
        <x:v>8</x:v>
      </x:c>
      <x:c r="B80" s="36" t="str">
        <x:f>INDEX('02_境界时间轴'!$B$6:$B$17,A80)</x:f>
        <x:v>筑基后期</x:v>
      </x:c>
      <x:c r="C80" s="36" t="str">
        <x:f>INDEX('02_境界时间轴'!$C$6:$C$17,A80)</x:f>
        <x:v>筑基</x:v>
      </x:c>
      <x:c r="D80" s="30" t="n">
        <x:v>5</x:v>
      </x:c>
      <x:c r="E80" s="46" t="n">
        <x:f>POWER(D80,'01_核心假设'!$B$37)</x:f>
        <x:v>6.898648307306074</x:v>
      </x:c>
      <x:c r="F80" s="46" t="n">
        <x:f>INDEX('02_境界时间轴'!$E$6:$E$17,A80)</x:f>
        <x:v>50000</x:v>
      </x:c>
      <x:c r="G80" s="46" t="n">
        <x:f>ROUND(F80*E80/SUM($E$76:$E$85),0)</x:f>
        <x:v>4308</x:v>
      </x:c>
      <x:c r="H80" s="46" t="n">
        <x:f>H79+G80</x:f>
        <x:v>116092</x:v>
      </x:c>
      <x:c r="I80" s="56" t="n">
        <x:f>G80/'01_核心假设'!$B$13</x:f>
        <x:v>15.955555555555556</x:v>
      </x:c>
      <x:c r="J80" s="36" t="str">
        <x:f>INDEX('02_境界时间轴'!$I$6:$I$17,A80)</x:f>
        <x:v>扩展</x:v>
      </x:c>
    </x:row>
    <x:row r="81">
      <x:c r="A81" s="30" t="n">
        <x:v>8</x:v>
      </x:c>
      <x:c r="B81" s="36" t="str">
        <x:f>INDEX('02_境界时间轴'!$B$6:$B$17,A81)</x:f>
        <x:v>筑基后期</x:v>
      </x:c>
      <x:c r="C81" s="36" t="str">
        <x:f>INDEX('02_境界时间轴'!$C$6:$C$17,A81)</x:f>
        <x:v>筑基</x:v>
      </x:c>
      <x:c r="D81" s="30" t="n">
        <x:v>6</x:v>
      </x:c>
      <x:c r="E81" s="46" t="n">
        <x:f>POWER(D81,'01_核心假设'!$B$37)</x:f>
        <x:v>8.585814486631532</x:v>
      </x:c>
      <x:c r="F81" s="46" t="n">
        <x:f>INDEX('02_境界时间轴'!$E$6:$E$17,A81)</x:f>
        <x:v>50000</x:v>
      </x:c>
      <x:c r="G81" s="46" t="n">
        <x:f>ROUND(F81*E81/SUM($E$76:$E$85),0)</x:f>
        <x:v>5362</x:v>
      </x:c>
      <x:c r="H81" s="46" t="n">
        <x:f>H80+G81</x:f>
        <x:v>121454</x:v>
      </x:c>
      <x:c r="I81" s="56" t="n">
        <x:f>G81/'01_核心假设'!$B$13</x:f>
        <x:v>19.85925925925926</x:v>
      </x:c>
      <x:c r="J81" s="36" t="str">
        <x:f>INDEX('02_境界时间轴'!$I$6:$I$17,A81)</x:f>
        <x:v>扩展</x:v>
      </x:c>
    </x:row>
    <x:row r="82">
      <x:c r="A82" s="30" t="n">
        <x:v>8</x:v>
      </x:c>
      <x:c r="B82" s="36" t="str">
        <x:f>INDEX('02_境界时间轴'!$B$6:$B$17,A82)</x:f>
        <x:v>筑基后期</x:v>
      </x:c>
      <x:c r="C82" s="36" t="str">
        <x:f>INDEX('02_境界时间轴'!$C$6:$C$17,A82)</x:f>
        <x:v>筑基</x:v>
      </x:c>
      <x:c r="D82" s="30" t="n">
        <x:v>7</x:v>
      </x:c>
      <x:c r="E82" s="46" t="n">
        <x:f>POWER(D82,'01_核心假设'!$B$37)</x:f>
        <x:v>10.330412131161864</x:v>
      </x:c>
      <x:c r="F82" s="46" t="n">
        <x:f>INDEX('02_境界时间轴'!$E$6:$E$17,A82)</x:f>
        <x:v>50000</x:v>
      </x:c>
      <x:c r="G82" s="46" t="n">
        <x:f>ROUND(F82*E82/SUM($E$76:$E$85),0)</x:f>
        <x:v>6451</x:v>
      </x:c>
      <x:c r="H82" s="46" t="n">
        <x:f>H81+G82</x:f>
        <x:v>127905</x:v>
      </x:c>
      <x:c r="I82" s="56" t="n">
        <x:f>G82/'01_核心假设'!$B$13</x:f>
        <x:v>23.892592592592592</x:v>
      </x:c>
      <x:c r="J82" s="36" t="str">
        <x:f>INDEX('02_境界时间轴'!$I$6:$I$17,A82)</x:f>
        <x:v>扩展</x:v>
      </x:c>
    </x:row>
    <x:row r="83">
      <x:c r="A83" s="30" t="n">
        <x:v>8</x:v>
      </x:c>
      <x:c r="B83" s="36" t="str">
        <x:f>INDEX('02_境界时间轴'!$B$6:$B$17,A83)</x:f>
        <x:v>筑基后期</x:v>
      </x:c>
      <x:c r="C83" s="36" t="str">
        <x:f>INDEX('02_境界时间轴'!$C$6:$C$17,A83)</x:f>
        <x:v>筑基</x:v>
      </x:c>
      <x:c r="D83" s="30" t="n">
        <x:v>8</x:v>
      </x:c>
      <x:c r="E83" s="46" t="n">
        <x:f>POWER(D83,'01_核心假设'!$B$37)</x:f>
        <x:v>12.125732532083184</x:v>
      </x:c>
      <x:c r="F83" s="46" t="n">
        <x:f>INDEX('02_境界时间轴'!$E$6:$E$17,A83)</x:f>
        <x:v>50000</x:v>
      </x:c>
      <x:c r="G83" s="46" t="n">
        <x:f>ROUND(F83*E83/SUM($E$76:$E$85),0)</x:f>
        <x:v>7572</x:v>
      </x:c>
      <x:c r="H83" s="46" t="n">
        <x:f>H82+G83</x:f>
        <x:v>135477</x:v>
      </x:c>
      <x:c r="I83" s="56" t="n">
        <x:f>G83/'01_核心假设'!$B$13</x:f>
        <x:v>28.044444444444444</x:v>
      </x:c>
      <x:c r="J83" s="36" t="str">
        <x:f>INDEX('02_境界时间轴'!$I$6:$I$17,A83)</x:f>
        <x:v>扩展</x:v>
      </x:c>
    </x:row>
    <x:row r="84">
      <x:c r="A84" s="30" t="n">
        <x:v>8</x:v>
      </x:c>
      <x:c r="B84" s="36" t="str">
        <x:f>INDEX('02_境界时间轴'!$B$6:$B$17,A84)</x:f>
        <x:v>筑基后期</x:v>
      </x:c>
      <x:c r="C84" s="36" t="str">
        <x:f>INDEX('02_境界时间轴'!$C$6:$C$17,A84)</x:f>
        <x:v>筑基</x:v>
      </x:c>
      <x:c r="D84" s="30" t="n">
        <x:v>9</x:v>
      </x:c>
      <x:c r="E84" s="46" t="n">
        <x:f>POWER(D84,'01_核心假设'!$B$37)</x:f>
        <x:v>13.966610165238235</x:v>
      </x:c>
      <x:c r="F84" s="46" t="n">
        <x:f>INDEX('02_境界时间轴'!$E$6:$E$17,A84)</x:f>
        <x:v>50000</x:v>
      </x:c>
      <x:c r="G84" s="46" t="n">
        <x:f>ROUND(F84*E84/SUM($E$76:$E$85),0)</x:f>
        <x:v>8722</x:v>
      </x:c>
      <x:c r="H84" s="46" t="n">
        <x:f>H83+G84</x:f>
        <x:v>144199</x:v>
      </x:c>
      <x:c r="I84" s="56" t="n">
        <x:f>G84/'01_核心假设'!$B$13</x:f>
        <x:v>32.303703703703704</x:v>
      </x:c>
      <x:c r="J84" s="36" t="str">
        <x:f>INDEX('02_境界时间轴'!$I$6:$I$17,A84)</x:f>
        <x:v>扩展</x:v>
      </x:c>
    </x:row>
    <x:row r="85">
      <x:c r="A85" s="30" t="n">
        <x:v>8</x:v>
      </x:c>
      <x:c r="B85" s="36" t="str">
        <x:f>INDEX('02_境界时间轴'!$B$6:$B$17,A85)</x:f>
        <x:v>筑基后期</x:v>
      </x:c>
      <x:c r="C85" s="36" t="str">
        <x:f>INDEX('02_境界时间轴'!$C$6:$C$17,A85)</x:f>
        <x:v>筑基</x:v>
      </x:c>
      <x:c r="D85" s="30" t="n">
        <x:v>10</x:v>
      </x:c>
      <x:c r="E85" s="46" t="n">
        <x:f>POWER(D85,'01_核心假设'!$B$37)</x:f>
        <x:v>15.848931924611133</x:v>
      </x:c>
      <x:c r="F85" s="46" t="n">
        <x:f>INDEX('02_境界时间轴'!$E$6:$E$17,A85)</x:f>
        <x:v>50000</x:v>
      </x:c>
      <x:c r="G85" s="46" t="n">
        <x:f>ROUND(F85*E85/SUM($E$76:$E$85),0)</x:f>
        <x:v>9897</x:v>
      </x:c>
      <x:c r="H85" s="46" t="n">
        <x:f>H84+G85</x:f>
        <x:v>154096</x:v>
      </x:c>
      <x:c r="I85" s="56" t="n">
        <x:f>G85/'01_核心假设'!$B$13</x:f>
        <x:v>36.65555555555556</x:v>
      </x:c>
      <x:c r="J85" s="36" t="str">
        <x:f>INDEX('02_境界时间轴'!$I$6:$I$17,A85)</x:f>
        <x:v>扩展</x:v>
      </x:c>
    </x:row>
    <x:row r="86">
      <x:c r="A86" s="30" t="n">
        <x:v>9</x:v>
      </x:c>
      <x:c r="B86" s="36" t="str">
        <x:f>INDEX('02_境界时间轴'!$B$6:$B$17,A86)</x:f>
        <x:v>筑基大圆满</x:v>
      </x:c>
      <x:c r="C86" s="36" t="str">
        <x:f>INDEX('02_境界时间轴'!$C$6:$C$17,A86)</x:f>
        <x:v>筑基</x:v>
      </x:c>
      <x:c r="D86" s="30" t="n">
        <x:v>1</x:v>
      </x:c>
      <x:c r="E86" s="46" t="n">
        <x:f>POWER(D86,'01_核心假设'!$B$37)</x:f>
        <x:v>1</x:v>
      </x:c>
      <x:c r="F86" s="46" t="n">
        <x:f>INDEX('02_境界时间轴'!$E$6:$E$17,A86)</x:f>
        <x:v>25900</x:v>
      </x:c>
      <x:c r="G86" s="46" t="n">
        <x:f>ROUND(F86*E86/SUM($E$86:$E$95),0)</x:f>
        <x:v>323</x:v>
      </x:c>
      <x:c r="H86" s="46" t="n">
        <x:f>H85+G86</x:f>
        <x:v>154419</x:v>
      </x:c>
      <x:c r="I86" s="56" t="n">
        <x:f>G86/'01_核心假设'!$B$13</x:f>
        <x:v>1.1962962962962962</x:v>
      </x:c>
      <x:c r="J86" s="36" t="str">
        <x:f>INDEX('02_境界时间轴'!$I$6:$I$17,A86)</x:f>
        <x:v>扩展</x:v>
      </x:c>
    </x:row>
    <x:row r="87">
      <x:c r="A87" s="30" t="n">
        <x:v>9</x:v>
      </x:c>
      <x:c r="B87" s="36" t="str">
        <x:f>INDEX('02_境界时间轴'!$B$6:$B$17,A87)</x:f>
        <x:v>筑基大圆满</x:v>
      </x:c>
      <x:c r="C87" s="36" t="str">
        <x:f>INDEX('02_境界时间轴'!$C$6:$C$17,A87)</x:f>
        <x:v>筑基</x:v>
      </x:c>
      <x:c r="D87" s="30" t="n">
        <x:v>2</x:v>
      </x:c>
      <x:c r="E87" s="46" t="n">
        <x:f>POWER(D87,'01_核心假设'!$B$37)</x:f>
        <x:v>2.2973967099940698</x:v>
      </x:c>
      <x:c r="F87" s="46" t="n">
        <x:f>INDEX('02_境界时间轴'!$E$6:$E$17,A87)</x:f>
        <x:v>25900</x:v>
      </x:c>
      <x:c r="G87" s="46" t="n">
        <x:f>ROUND(F87*E87/SUM($E$86:$E$95),0)</x:f>
        <x:v>743</x:v>
      </x:c>
      <x:c r="H87" s="46" t="n">
        <x:f>H86+G87</x:f>
        <x:v>155162</x:v>
      </x:c>
      <x:c r="I87" s="56" t="n">
        <x:f>G87/'01_核心假设'!$B$13</x:f>
        <x:v>2.751851851851852</x:v>
      </x:c>
      <x:c r="J87" s="36" t="str">
        <x:f>INDEX('02_境界时间轴'!$I$6:$I$17,A87)</x:f>
        <x:v>扩展</x:v>
      </x:c>
    </x:row>
    <x:row r="88">
      <x:c r="A88" s="30" t="n">
        <x:v>9</x:v>
      </x:c>
      <x:c r="B88" s="36" t="str">
        <x:f>INDEX('02_境界时间轴'!$B$6:$B$17,A88)</x:f>
        <x:v>筑基大圆满</x:v>
      </x:c>
      <x:c r="C88" s="36" t="str">
        <x:f>INDEX('02_境界时间轴'!$C$6:$C$17,A88)</x:f>
        <x:v>筑基</x:v>
      </x:c>
      <x:c r="D88" s="30" t="n">
        <x:v>3</x:v>
      </x:c>
      <x:c r="E88" s="46" t="n">
        <x:f>POWER(D88,'01_核心假设'!$B$37)</x:f>
        <x:v>3.7371928188465517</x:v>
      </x:c>
      <x:c r="F88" s="46" t="n">
        <x:f>INDEX('02_境界时间轴'!$E$6:$E$17,A88)</x:f>
        <x:v>25900</x:v>
      </x:c>
      <x:c r="G88" s="46" t="n">
        <x:f>ROUND(F88*E88/SUM($E$86:$E$95),0)</x:f>
        <x:v>1209</x:v>
      </x:c>
      <x:c r="H88" s="46" t="n">
        <x:f>H87+G88</x:f>
        <x:v>156371</x:v>
      </x:c>
      <x:c r="I88" s="56" t="n">
        <x:f>G88/'01_核心假设'!$B$13</x:f>
        <x:v>4.477777777777778</x:v>
      </x:c>
      <x:c r="J88" s="36" t="str">
        <x:f>INDEX('02_境界时间轴'!$I$6:$I$17,A88)</x:f>
        <x:v>扩展</x:v>
      </x:c>
    </x:row>
    <x:row r="89">
      <x:c r="A89" s="30" t="n">
        <x:v>9</x:v>
      </x:c>
      <x:c r="B89" s="36" t="str">
        <x:f>INDEX('02_境界时间轴'!$B$6:$B$17,A89)</x:f>
        <x:v>筑基大圆满</x:v>
      </x:c>
      <x:c r="C89" s="36" t="str">
        <x:f>INDEX('02_境界时间轴'!$C$6:$C$17,A89)</x:f>
        <x:v>筑基</x:v>
      </x:c>
      <x:c r="D89" s="30" t="n">
        <x:v>4</x:v>
      </x:c>
      <x:c r="E89" s="46" t="n">
        <x:f>POWER(D89,'01_核心假设'!$B$37)</x:f>
        <x:v>5.278031643091577</x:v>
      </x:c>
      <x:c r="F89" s="46" t="n">
        <x:f>INDEX('02_境界时间轴'!$E$6:$E$17,A89)</x:f>
        <x:v>25900</x:v>
      </x:c>
      <x:c r="G89" s="46" t="n">
        <x:f>ROUND(F89*E89/SUM($E$86:$E$95),0)</x:f>
        <x:v>1707</x:v>
      </x:c>
      <x:c r="H89" s="46" t="n">
        <x:f>H88+G89</x:f>
        <x:v>158078</x:v>
      </x:c>
      <x:c r="I89" s="56" t="n">
        <x:f>G89/'01_核心假设'!$B$13</x:f>
        <x:v>6.322222222222222</x:v>
      </x:c>
      <x:c r="J89" s="36" t="str">
        <x:f>INDEX('02_境界时间轴'!$I$6:$I$17,A89)</x:f>
        <x:v>扩展</x:v>
      </x:c>
    </x:row>
    <x:row r="90">
      <x:c r="A90" s="30" t="n">
        <x:v>9</x:v>
      </x:c>
      <x:c r="B90" s="36" t="str">
        <x:f>INDEX('02_境界时间轴'!$B$6:$B$17,A90)</x:f>
        <x:v>筑基大圆满</x:v>
      </x:c>
      <x:c r="C90" s="36" t="str">
        <x:f>INDEX('02_境界时间轴'!$C$6:$C$17,A90)</x:f>
        <x:v>筑基</x:v>
      </x:c>
      <x:c r="D90" s="30" t="n">
        <x:v>5</x:v>
      </x:c>
      <x:c r="E90" s="46" t="n">
        <x:f>POWER(D90,'01_核心假设'!$B$37)</x:f>
        <x:v>6.898648307306074</x:v>
      </x:c>
      <x:c r="F90" s="46" t="n">
        <x:f>INDEX('02_境界时间轴'!$E$6:$E$17,A90)</x:f>
        <x:v>25900</x:v>
      </x:c>
      <x:c r="G90" s="46" t="n">
        <x:f>ROUND(F90*E90/SUM($E$86:$E$95),0)</x:f>
        <x:v>2232</x:v>
      </x:c>
      <x:c r="H90" s="46" t="n">
        <x:f>H89+G90</x:f>
        <x:v>160310</x:v>
      </x:c>
      <x:c r="I90" s="56" t="n">
        <x:f>G90/'01_核心假设'!$B$13</x:f>
        <x:v>8.266666666666667</x:v>
      </x:c>
      <x:c r="J90" s="36" t="str">
        <x:f>INDEX('02_境界时间轴'!$I$6:$I$17,A90)</x:f>
        <x:v>扩展</x:v>
      </x:c>
    </x:row>
    <x:row r="91">
      <x:c r="A91" s="30" t="n">
        <x:v>9</x:v>
      </x:c>
      <x:c r="B91" s="36" t="str">
        <x:f>INDEX('02_境界时间轴'!$B$6:$B$17,A91)</x:f>
        <x:v>筑基大圆满</x:v>
      </x:c>
      <x:c r="C91" s="36" t="str">
        <x:f>INDEX('02_境界时间轴'!$C$6:$C$17,A91)</x:f>
        <x:v>筑基</x:v>
      </x:c>
      <x:c r="D91" s="30" t="n">
        <x:v>6</x:v>
      </x:c>
      <x:c r="E91" s="46" t="n">
        <x:f>POWER(D91,'01_核心假设'!$B$37)</x:f>
        <x:v>8.585814486631532</x:v>
      </x:c>
      <x:c r="F91" s="46" t="n">
        <x:f>INDEX('02_境界时间轴'!$E$6:$E$17,A91)</x:f>
        <x:v>25900</x:v>
      </x:c>
      <x:c r="G91" s="46" t="n">
        <x:f>ROUND(F91*E91/SUM($E$86:$E$95),0)</x:f>
        <x:v>2777</x:v>
      </x:c>
      <x:c r="H91" s="46" t="n">
        <x:f>H90+G91</x:f>
        <x:v>163087</x:v>
      </x:c>
      <x:c r="I91" s="56" t="n">
        <x:f>G91/'01_核心假设'!$B$13</x:f>
        <x:v>10.285185185185185</x:v>
      </x:c>
      <x:c r="J91" s="36" t="str">
        <x:f>INDEX('02_境界时间轴'!$I$6:$I$17,A91)</x:f>
        <x:v>扩展</x:v>
      </x:c>
    </x:row>
    <x:row r="92">
      <x:c r="A92" s="30" t="n">
        <x:v>9</x:v>
      </x:c>
      <x:c r="B92" s="36" t="str">
        <x:f>INDEX('02_境界时间轴'!$B$6:$B$17,A92)</x:f>
        <x:v>筑基大圆满</x:v>
      </x:c>
      <x:c r="C92" s="36" t="str">
        <x:f>INDEX('02_境界时间轴'!$C$6:$C$17,A92)</x:f>
        <x:v>筑基</x:v>
      </x:c>
      <x:c r="D92" s="30" t="n">
        <x:v>7</x:v>
      </x:c>
      <x:c r="E92" s="46" t="n">
        <x:f>POWER(D92,'01_核心假设'!$B$37)</x:f>
        <x:v>10.330412131161864</x:v>
      </x:c>
      <x:c r="F92" s="46" t="n">
        <x:f>INDEX('02_境界时间轴'!$E$6:$E$17,A92)</x:f>
        <x:v>25900</x:v>
      </x:c>
      <x:c r="G92" s="46" t="n">
        <x:f>ROUND(F92*E92/SUM($E$86:$E$95),0)</x:f>
        <x:v>3342</x:v>
      </x:c>
      <x:c r="H92" s="46" t="n">
        <x:f>H91+G92</x:f>
        <x:v>166429</x:v>
      </x:c>
      <x:c r="I92" s="56" t="n">
        <x:f>G92/'01_核心假设'!$B$13</x:f>
        <x:v>12.377777777777778</x:v>
      </x:c>
      <x:c r="J92" s="36" t="str">
        <x:f>INDEX('02_境界时间轴'!$I$6:$I$17,A92)</x:f>
        <x:v>扩展</x:v>
      </x:c>
    </x:row>
    <x:row r="93">
      <x:c r="A93" s="30" t="n">
        <x:v>9</x:v>
      </x:c>
      <x:c r="B93" s="36" t="str">
        <x:f>INDEX('02_境界时间轴'!$B$6:$B$17,A93)</x:f>
        <x:v>筑基大圆满</x:v>
      </x:c>
      <x:c r="C93" s="36" t="str">
        <x:f>INDEX('02_境界时间轴'!$C$6:$C$17,A93)</x:f>
        <x:v>筑基</x:v>
      </x:c>
      <x:c r="D93" s="30" t="n">
        <x:v>8</x:v>
      </x:c>
      <x:c r="E93" s="46" t="n">
        <x:f>POWER(D93,'01_核心假设'!$B$37)</x:f>
        <x:v>12.125732532083184</x:v>
      </x:c>
      <x:c r="F93" s="46" t="n">
        <x:f>INDEX('02_境界时间轴'!$E$6:$E$17,A93)</x:f>
        <x:v>25900</x:v>
      </x:c>
      <x:c r="G93" s="46" t="n">
        <x:f>ROUND(F93*E93/SUM($E$86:$E$95),0)</x:f>
        <x:v>3922</x:v>
      </x:c>
      <x:c r="H93" s="46" t="n">
        <x:f>H92+G93</x:f>
        <x:v>170351</x:v>
      </x:c>
      <x:c r="I93" s="56" t="n">
        <x:f>G93/'01_核心假设'!$B$13</x:f>
        <x:v>14.525925925925925</x:v>
      </x:c>
      <x:c r="J93" s="36" t="str">
        <x:f>INDEX('02_境界时间轴'!$I$6:$I$17,A93)</x:f>
        <x:v>扩展</x:v>
      </x:c>
    </x:row>
    <x:row r="94">
      <x:c r="A94" s="30" t="n">
        <x:v>9</x:v>
      </x:c>
      <x:c r="B94" s="36" t="str">
        <x:f>INDEX('02_境界时间轴'!$B$6:$B$17,A94)</x:f>
        <x:v>筑基大圆满</x:v>
      </x:c>
      <x:c r="C94" s="36" t="str">
        <x:f>INDEX('02_境界时间轴'!$C$6:$C$17,A94)</x:f>
        <x:v>筑基</x:v>
      </x:c>
      <x:c r="D94" s="30" t="n">
        <x:v>9</x:v>
      </x:c>
      <x:c r="E94" s="46" t="n">
        <x:f>POWER(D94,'01_核心假设'!$B$37)</x:f>
        <x:v>13.966610165238235</x:v>
      </x:c>
      <x:c r="F94" s="46" t="n">
        <x:f>INDEX('02_境界时间轴'!$E$6:$E$17,A94)</x:f>
        <x:v>25900</x:v>
      </x:c>
      <x:c r="G94" s="46" t="n">
        <x:f>ROUND(F94*E94/SUM($E$86:$E$95),0)</x:f>
        <x:v>4518</x:v>
      </x:c>
      <x:c r="H94" s="46" t="n">
        <x:f>H93+G94</x:f>
        <x:v>174869</x:v>
      </x:c>
      <x:c r="I94" s="56" t="n">
        <x:f>G94/'01_核心假设'!$B$13</x:f>
        <x:v>16.733333333333334</x:v>
      </x:c>
      <x:c r="J94" s="36" t="str">
        <x:f>INDEX('02_境界时间轴'!$I$6:$I$17,A94)</x:f>
        <x:v>扩展</x:v>
      </x:c>
    </x:row>
    <x:row r="95">
      <x:c r="A95" s="30" t="n">
        <x:v>9</x:v>
      </x:c>
      <x:c r="B95" s="36" t="str">
        <x:f>INDEX('02_境界时间轴'!$B$6:$B$17,A95)</x:f>
        <x:v>筑基大圆满</x:v>
      </x:c>
      <x:c r="C95" s="36" t="str">
        <x:f>INDEX('02_境界时间轴'!$C$6:$C$17,A95)</x:f>
        <x:v>筑基</x:v>
      </x:c>
      <x:c r="D95" s="30" t="n">
        <x:v>10</x:v>
      </x:c>
      <x:c r="E95" s="46" t="n">
        <x:f>POWER(D95,'01_核心假设'!$B$37)</x:f>
        <x:v>15.848931924611133</x:v>
      </x:c>
      <x:c r="F95" s="46" t="n">
        <x:f>INDEX('02_境界时间轴'!$E$6:$E$17,A95)</x:f>
        <x:v>25900</x:v>
      </x:c>
      <x:c r="G95" s="46" t="n">
        <x:f>ROUND(F95*E95/SUM($E$86:$E$95),0)</x:f>
        <x:v>5127</x:v>
      </x:c>
      <x:c r="H95" s="46" t="n">
        <x:f>H94+G95</x:f>
        <x:v>179996</x:v>
      </x:c>
      <x:c r="I95" s="56" t="n">
        <x:f>G95/'01_核心假设'!$B$13</x:f>
        <x:v>18.988888888888887</x:v>
      </x:c>
      <x:c r="J95" s="36" t="str">
        <x:f>INDEX('02_境界时间轴'!$I$6:$I$17,A95)</x:f>
        <x:v>扩展</x:v>
      </x:c>
    </x:row>
    <x:row r="96">
      <x:c r="A96" s="30" t="n">
        <x:v>10</x:v>
      </x:c>
      <x:c r="B96" s="36" t="str">
        <x:f>INDEX('02_境界时间轴'!$B$6:$B$17,A96)</x:f>
        <x:v>金丹</x:v>
      </x:c>
      <x:c r="C96" s="36" t="str">
        <x:f>INDEX('02_境界时间轴'!$C$6:$C$17,A96)</x:f>
        <x:v>金丹</x:v>
      </x:c>
      <x:c r="D96" s="30" t="n">
        <x:v>1</x:v>
      </x:c>
      <x:c r="E96" s="46" t="n">
        <x:f>POWER(D96,'01_核心假设'!$B$37)</x:f>
        <x:v>1</x:v>
      </x:c>
      <x:c r="F96" s="46" t="n">
        <x:f>INDEX('02_境界时间轴'!$E$6:$E$17,A96)</x:f>
        <x:v>370000</x:v>
      </x:c>
      <x:c r="G96" s="46" t="n">
        <x:f>ROUND(F96*E96/SUM($E$96:$E$105),0)</x:f>
        <x:v>4621</x:v>
      </x:c>
      <x:c r="H96" s="46" t="n">
        <x:f>H95+G96</x:f>
        <x:v>184617</x:v>
      </x:c>
      <x:c r="I96" s="56" t="n">
        <x:f>G96/'01_核心假设'!$B$13</x:f>
        <x:v>17.114814814814814</x:v>
      </x:c>
      <x:c r="J96" s="36" t="str">
        <x:f>INDEX('02_境界时间轴'!$I$6:$I$17,A96)</x:f>
        <x:v>扩展锚点</x:v>
      </x:c>
    </x:row>
    <x:row r="97">
      <x:c r="A97" s="30" t="n">
        <x:v>10</x:v>
      </x:c>
      <x:c r="B97" s="36" t="str">
        <x:f>INDEX('02_境界时间轴'!$B$6:$B$17,A97)</x:f>
        <x:v>金丹</x:v>
      </x:c>
      <x:c r="C97" s="36" t="str">
        <x:f>INDEX('02_境界时间轴'!$C$6:$C$17,A97)</x:f>
        <x:v>金丹</x:v>
      </x:c>
      <x:c r="D97" s="30" t="n">
        <x:v>2</x:v>
      </x:c>
      <x:c r="E97" s="46" t="n">
        <x:f>POWER(D97,'01_核心假设'!$B$37)</x:f>
        <x:v>2.2973967099940698</x:v>
      </x:c>
      <x:c r="F97" s="46" t="n">
        <x:f>INDEX('02_境界时间轴'!$E$6:$E$17,A97)</x:f>
        <x:v>370000</x:v>
      </x:c>
      <x:c r="G97" s="46" t="n">
        <x:f>ROUND(F97*E97/SUM($E$96:$E$105),0)</x:f>
        <x:v>10616</x:v>
      </x:c>
      <x:c r="H97" s="46" t="n">
        <x:f>H96+G97</x:f>
        <x:v>195233</x:v>
      </x:c>
      <x:c r="I97" s="56" t="n">
        <x:f>G97/'01_核心假设'!$B$13</x:f>
        <x:v>39.318518518518516</x:v>
      </x:c>
      <x:c r="J97" s="36" t="str">
        <x:f>INDEX('02_境界时间轴'!$I$6:$I$17,A97)</x:f>
        <x:v>扩展锚点</x:v>
      </x:c>
    </x:row>
    <x:row r="98">
      <x:c r="A98" s="30" t="n">
        <x:v>10</x:v>
      </x:c>
      <x:c r="B98" s="36" t="str">
        <x:f>INDEX('02_境界时间轴'!$B$6:$B$17,A98)</x:f>
        <x:v>金丹</x:v>
      </x:c>
      <x:c r="C98" s="36" t="str">
        <x:f>INDEX('02_境界时间轴'!$C$6:$C$17,A98)</x:f>
        <x:v>金丹</x:v>
      </x:c>
      <x:c r="D98" s="30" t="n">
        <x:v>3</x:v>
      </x:c>
      <x:c r="E98" s="46" t="n">
        <x:f>POWER(D98,'01_核心假设'!$B$37)</x:f>
        <x:v>3.7371928188465517</x:v>
      </x:c>
      <x:c r="F98" s="46" t="n">
        <x:f>INDEX('02_境界时间轴'!$E$6:$E$17,A98)</x:f>
        <x:v>370000</x:v>
      </x:c>
      <x:c r="G98" s="46" t="n">
        <x:f>ROUND(F98*E98/SUM($E$96:$E$105),0)</x:f>
        <x:v>17270</x:v>
      </x:c>
      <x:c r="H98" s="46" t="n">
        <x:f>H97+G98</x:f>
        <x:v>212503</x:v>
      </x:c>
      <x:c r="I98" s="56" t="n">
        <x:f>G98/'01_核心假设'!$B$13</x:f>
        <x:v>63.96296296296296</x:v>
      </x:c>
      <x:c r="J98" s="36" t="str">
        <x:f>INDEX('02_境界时间轴'!$I$6:$I$17,A98)</x:f>
        <x:v>扩展锚点</x:v>
      </x:c>
    </x:row>
    <x:row r="99">
      <x:c r="A99" s="30" t="n">
        <x:v>10</x:v>
      </x:c>
      <x:c r="B99" s="36" t="str">
        <x:f>INDEX('02_境界时间轴'!$B$6:$B$17,A99)</x:f>
        <x:v>金丹</x:v>
      </x:c>
      <x:c r="C99" s="36" t="str">
        <x:f>INDEX('02_境界时间轴'!$C$6:$C$17,A99)</x:f>
        <x:v>金丹</x:v>
      </x:c>
      <x:c r="D99" s="30" t="n">
        <x:v>4</x:v>
      </x:c>
      <x:c r="E99" s="46" t="n">
        <x:f>POWER(D99,'01_核心假设'!$B$37)</x:f>
        <x:v>5.278031643091577</x:v>
      </x:c>
      <x:c r="F99" s="46" t="n">
        <x:f>INDEX('02_境界时间轴'!$E$6:$E$17,A99)</x:f>
        <x:v>370000</x:v>
      </x:c>
      <x:c r="G99" s="46" t="n">
        <x:f>ROUND(F99*E99/SUM($E$96:$E$105),0)</x:f>
        <x:v>24390</x:v>
      </x:c>
      <x:c r="H99" s="46" t="n">
        <x:f>H98+G99</x:f>
        <x:v>236893</x:v>
      </x:c>
      <x:c r="I99" s="56" t="n">
        <x:f>G99/'01_核心假设'!$B$13</x:f>
        <x:v>90.33333333333333</x:v>
      </x:c>
      <x:c r="J99" s="36" t="str">
        <x:f>INDEX('02_境界时间轴'!$I$6:$I$17,A99)</x:f>
        <x:v>扩展锚点</x:v>
      </x:c>
    </x:row>
    <x:row r="100">
      <x:c r="A100" s="30" t="n">
        <x:v>10</x:v>
      </x:c>
      <x:c r="B100" s="36" t="str">
        <x:f>INDEX('02_境界时间轴'!$B$6:$B$17,A100)</x:f>
        <x:v>金丹</x:v>
      </x:c>
      <x:c r="C100" s="36" t="str">
        <x:f>INDEX('02_境界时间轴'!$C$6:$C$17,A100)</x:f>
        <x:v>金丹</x:v>
      </x:c>
      <x:c r="D100" s="30" t="n">
        <x:v>5</x:v>
      </x:c>
      <x:c r="E100" s="46" t="n">
        <x:f>POWER(D100,'01_核心假设'!$B$37)</x:f>
        <x:v>6.898648307306074</x:v>
      </x:c>
      <x:c r="F100" s="46" t="n">
        <x:f>INDEX('02_境界时间轴'!$E$6:$E$17,A100)</x:f>
        <x:v>370000</x:v>
      </x:c>
      <x:c r="G100" s="46" t="n">
        <x:f>ROUND(F100*E100/SUM($E$96:$E$105),0)</x:f>
        <x:v>31879</x:v>
      </x:c>
      <x:c r="H100" s="46" t="n">
        <x:f>H99+G100</x:f>
        <x:v>268772</x:v>
      </x:c>
      <x:c r="I100" s="56" t="n">
        <x:f>G100/'01_核心假设'!$B$13</x:f>
        <x:v>118.07037037037037</x:v>
      </x:c>
      <x:c r="J100" s="36" t="str">
        <x:f>INDEX('02_境界时间轴'!$I$6:$I$17,A100)</x:f>
        <x:v>扩展锚点</x:v>
      </x:c>
    </x:row>
    <x:row r="101">
      <x:c r="A101" s="30" t="n">
        <x:v>10</x:v>
      </x:c>
      <x:c r="B101" s="36" t="str">
        <x:f>INDEX('02_境界时间轴'!$B$6:$B$17,A101)</x:f>
        <x:v>金丹</x:v>
      </x:c>
      <x:c r="C101" s="36" t="str">
        <x:f>INDEX('02_境界时间轴'!$C$6:$C$17,A101)</x:f>
        <x:v>金丹</x:v>
      </x:c>
      <x:c r="D101" s="30" t="n">
        <x:v>6</x:v>
      </x:c>
      <x:c r="E101" s="46" t="n">
        <x:f>POWER(D101,'01_核心假设'!$B$37)</x:f>
        <x:v>8.585814486631532</x:v>
      </x:c>
      <x:c r="F101" s="46" t="n">
        <x:f>INDEX('02_境界时间轴'!$E$6:$E$17,A101)</x:f>
        <x:v>370000</x:v>
      </x:c>
      <x:c r="G101" s="46" t="n">
        <x:f>ROUND(F101*E101/SUM($E$96:$E$105),0)</x:f>
        <x:v>39675</x:v>
      </x:c>
      <x:c r="H101" s="46" t="n">
        <x:f>H100+G101</x:f>
        <x:v>308447</x:v>
      </x:c>
      <x:c r="I101" s="56" t="n">
        <x:f>G101/'01_核心假设'!$B$13</x:f>
        <x:v>146.94444444444446</x:v>
      </x:c>
      <x:c r="J101" s="36" t="str">
        <x:f>INDEX('02_境界时间轴'!$I$6:$I$17,A101)</x:f>
        <x:v>扩展锚点</x:v>
      </x:c>
    </x:row>
    <x:row r="102">
      <x:c r="A102" s="30" t="n">
        <x:v>10</x:v>
      </x:c>
      <x:c r="B102" s="36" t="str">
        <x:f>INDEX('02_境界时间轴'!$B$6:$B$17,A102)</x:f>
        <x:v>金丹</x:v>
      </x:c>
      <x:c r="C102" s="36" t="str">
        <x:f>INDEX('02_境界时间轴'!$C$6:$C$17,A102)</x:f>
        <x:v>金丹</x:v>
      </x:c>
      <x:c r="D102" s="30" t="n">
        <x:v>7</x:v>
      </x:c>
      <x:c r="E102" s="46" t="n">
        <x:f>POWER(D102,'01_核心假设'!$B$37)</x:f>
        <x:v>10.330412131161864</x:v>
      </x:c>
      <x:c r="F102" s="46" t="n">
        <x:f>INDEX('02_境界时间轴'!$E$6:$E$17,A102)</x:f>
        <x:v>370000</x:v>
      </x:c>
      <x:c r="G102" s="46" t="n">
        <x:f>ROUND(F102*E102/SUM($E$96:$E$105),0)</x:f>
        <x:v>47737</x:v>
      </x:c>
      <x:c r="H102" s="46" t="n">
        <x:f>H101+G102</x:f>
        <x:v>356184</x:v>
      </x:c>
      <x:c r="I102" s="56" t="n">
        <x:f>G102/'01_核心假设'!$B$13</x:f>
        <x:v>176.8037037037037</x:v>
      </x:c>
      <x:c r="J102" s="36" t="str">
        <x:f>INDEX('02_境界时间轴'!$I$6:$I$17,A102)</x:f>
        <x:v>扩展锚点</x:v>
      </x:c>
    </x:row>
    <x:row r="103">
      <x:c r="A103" s="30" t="n">
        <x:v>10</x:v>
      </x:c>
      <x:c r="B103" s="36" t="str">
        <x:f>INDEX('02_境界时间轴'!$B$6:$B$17,A103)</x:f>
        <x:v>金丹</x:v>
      </x:c>
      <x:c r="C103" s="36" t="str">
        <x:f>INDEX('02_境界时间轴'!$C$6:$C$17,A103)</x:f>
        <x:v>金丹</x:v>
      </x:c>
      <x:c r="D103" s="30" t="n">
        <x:v>8</x:v>
      </x:c>
      <x:c r="E103" s="46" t="n">
        <x:f>POWER(D103,'01_核心假设'!$B$37)</x:f>
        <x:v>12.125732532083184</x:v>
      </x:c>
      <x:c r="F103" s="46" t="n">
        <x:f>INDEX('02_境界时间轴'!$E$6:$E$17,A103)</x:f>
        <x:v>370000</x:v>
      </x:c>
      <x:c r="G103" s="46" t="n">
        <x:f>ROUND(F103*E103/SUM($E$96:$E$105),0)</x:f>
        <x:v>56033</x:v>
      </x:c>
      <x:c r="H103" s="46" t="n">
        <x:f>H102+G103</x:f>
        <x:v>412217</x:v>
      </x:c>
      <x:c r="I103" s="56" t="n">
        <x:f>G103/'01_核心假设'!$B$13</x:f>
        <x:v>207.52962962962962</x:v>
      </x:c>
      <x:c r="J103" s="36" t="str">
        <x:f>INDEX('02_境界时间轴'!$I$6:$I$17,A103)</x:f>
        <x:v>扩展锚点</x:v>
      </x:c>
    </x:row>
    <x:row r="104">
      <x:c r="A104" s="30" t="n">
        <x:v>10</x:v>
      </x:c>
      <x:c r="B104" s="36" t="str">
        <x:f>INDEX('02_境界时间轴'!$B$6:$B$17,A104)</x:f>
        <x:v>金丹</x:v>
      </x:c>
      <x:c r="C104" s="36" t="str">
        <x:f>INDEX('02_境界时间轴'!$C$6:$C$17,A104)</x:f>
        <x:v>金丹</x:v>
      </x:c>
      <x:c r="D104" s="30" t="n">
        <x:v>9</x:v>
      </x:c>
      <x:c r="E104" s="46" t="n">
        <x:f>POWER(D104,'01_核心假设'!$B$37)</x:f>
        <x:v>13.966610165238235</x:v>
      </x:c>
      <x:c r="F104" s="46" t="n">
        <x:f>INDEX('02_境界时间轴'!$E$6:$E$17,A104)</x:f>
        <x:v>370000</x:v>
      </x:c>
      <x:c r="G104" s="46" t="n">
        <x:f>ROUND(F104*E104/SUM($E$96:$E$105),0)</x:f>
        <x:v>64540</x:v>
      </x:c>
      <x:c r="H104" s="46" t="n">
        <x:f>H103+G104</x:f>
        <x:v>476757</x:v>
      </x:c>
      <x:c r="I104" s="56" t="n">
        <x:f>G104/'01_核心假设'!$B$13</x:f>
        <x:v>239.03703703703704</x:v>
      </x:c>
      <x:c r="J104" s="36" t="str">
        <x:f>INDEX('02_境界时间轴'!$I$6:$I$17,A104)</x:f>
        <x:v>扩展锚点</x:v>
      </x:c>
    </x:row>
    <x:row r="105">
      <x:c r="A105" s="30" t="n">
        <x:v>10</x:v>
      </x:c>
      <x:c r="B105" s="36" t="str">
        <x:f>INDEX('02_境界时间轴'!$B$6:$B$17,A105)</x:f>
        <x:v>金丹</x:v>
      </x:c>
      <x:c r="C105" s="36" t="str">
        <x:f>INDEX('02_境界时间轴'!$C$6:$C$17,A105)</x:f>
        <x:v>金丹</x:v>
      </x:c>
      <x:c r="D105" s="30" t="n">
        <x:v>10</x:v>
      </x:c>
      <x:c r="E105" s="46" t="n">
        <x:f>POWER(D105,'01_核心假设'!$B$37)</x:f>
        <x:v>15.848931924611133</x:v>
      </x:c>
      <x:c r="F105" s="46" t="n">
        <x:f>INDEX('02_境界时间轴'!$E$6:$E$17,A105)</x:f>
        <x:v>370000</x:v>
      </x:c>
      <x:c r="G105" s="46" t="n">
        <x:f>ROUND(F105*E105/SUM($E$96:$E$105),0)</x:f>
        <x:v>73238</x:v>
      </x:c>
      <x:c r="H105" s="46" t="n">
        <x:f>H104+G105</x:f>
        <x:v>549995</x:v>
      </x:c>
      <x:c r="I105" s="56" t="n">
        <x:f>G105/'01_核心假设'!$B$13</x:f>
        <x:v>271.2518518518518</x:v>
      </x:c>
      <x:c r="J105" s="36" t="str">
        <x:f>INDEX('02_境界时间轴'!$I$6:$I$17,A105)</x:f>
        <x:v>扩展锚点</x:v>
      </x:c>
    </x:row>
    <x:row r="106">
      <x:c r="A106" s="30" t="n">
        <x:v>11</x:v>
      </x:c>
      <x:c r="B106" s="36" t="str">
        <x:f>INDEX('02_境界时间轴'!$B$6:$B$17,A106)</x:f>
        <x:v>元婴</x:v>
      </x:c>
      <x:c r="C106" s="36" t="str">
        <x:f>INDEX('02_境界时间轴'!$C$6:$C$17,A106)</x:f>
        <x:v>元婴</x:v>
      </x:c>
      <x:c r="D106" s="30" t="n">
        <x:v>1</x:v>
      </x:c>
      <x:c r="E106" s="46" t="n">
        <x:f>POWER(D106,'01_核心假设'!$B$37)</x:f>
        <x:v>1</x:v>
      </x:c>
      <x:c r="F106" s="46" t="n">
        <x:f>INDEX('02_境界时间轴'!$E$6:$E$17,A106)</x:f>
        <x:v>750000</x:v>
      </x:c>
      <x:c r="G106" s="46" t="n">
        <x:f>ROUND(F106*E106/SUM($E$106:$E$115),0)</x:f>
        <x:v>9367</x:v>
      </x:c>
      <x:c r="H106" s="46" t="n">
        <x:f>H105+G106</x:f>
        <x:v>559362</x:v>
      </x:c>
      <x:c r="I106" s="56" t="n">
        <x:f>G106/'01_核心假设'!$B$13</x:f>
        <x:v>34.69259259259259</x:v>
      </x:c>
      <x:c r="J106" s="36" t="str">
        <x:f>INDEX('02_境界时间轴'!$I$6:$I$17,A106)</x:f>
        <x:v>扩展锚点</x:v>
      </x:c>
    </x:row>
    <x:row r="107">
      <x:c r="A107" s="30" t="n">
        <x:v>11</x:v>
      </x:c>
      <x:c r="B107" s="36" t="str">
        <x:f>INDEX('02_境界时间轴'!$B$6:$B$17,A107)</x:f>
        <x:v>元婴</x:v>
      </x:c>
      <x:c r="C107" s="36" t="str">
        <x:f>INDEX('02_境界时间轴'!$C$6:$C$17,A107)</x:f>
        <x:v>元婴</x:v>
      </x:c>
      <x:c r="D107" s="30" t="n">
        <x:v>2</x:v>
      </x:c>
      <x:c r="E107" s="46" t="n">
        <x:f>POWER(D107,'01_核心假设'!$B$37)</x:f>
        <x:v>2.2973967099940698</x:v>
      </x:c>
      <x:c r="F107" s="46" t="n">
        <x:f>INDEX('02_境界时间轴'!$E$6:$E$17,A107)</x:f>
        <x:v>750000</x:v>
      </x:c>
      <x:c r="G107" s="46" t="n">
        <x:f>ROUND(F107*E107/SUM($E$106:$E$115),0)</x:f>
        <x:v>21520</x:v>
      </x:c>
      <x:c r="H107" s="46" t="n">
        <x:f>H106+G107</x:f>
        <x:v>580882</x:v>
      </x:c>
      <x:c r="I107" s="56" t="n">
        <x:f>G107/'01_核心假设'!$B$13</x:f>
        <x:v>79.70370370370371</x:v>
      </x:c>
      <x:c r="J107" s="36" t="str">
        <x:f>INDEX('02_境界时间轴'!$I$6:$I$17,A107)</x:f>
        <x:v>扩展锚点</x:v>
      </x:c>
    </x:row>
    <x:row r="108">
      <x:c r="A108" s="30" t="n">
        <x:v>11</x:v>
      </x:c>
      <x:c r="B108" s="36" t="str">
        <x:f>INDEX('02_境界时间轴'!$B$6:$B$17,A108)</x:f>
        <x:v>元婴</x:v>
      </x:c>
      <x:c r="C108" s="36" t="str">
        <x:f>INDEX('02_境界时间轴'!$C$6:$C$17,A108)</x:f>
        <x:v>元婴</x:v>
      </x:c>
      <x:c r="D108" s="30" t="n">
        <x:v>3</x:v>
      </x:c>
      <x:c r="E108" s="46" t="n">
        <x:f>POWER(D108,'01_核心假设'!$B$37)</x:f>
        <x:v>3.7371928188465517</x:v>
      </x:c>
      <x:c r="F108" s="46" t="n">
        <x:f>INDEX('02_境界时间轴'!$E$6:$E$17,A108)</x:f>
        <x:v>750000</x:v>
      </x:c>
      <x:c r="G108" s="46" t="n">
        <x:f>ROUND(F108*E108/SUM($E$106:$E$115),0)</x:f>
        <x:v>35006</x:v>
      </x:c>
      <x:c r="H108" s="46" t="n">
        <x:f>H107+G108</x:f>
        <x:v>615888</x:v>
      </x:c>
      <x:c r="I108" s="56" t="n">
        <x:f>G108/'01_核心假设'!$B$13</x:f>
        <x:v>129.65185185185186</x:v>
      </x:c>
      <x:c r="J108" s="36" t="str">
        <x:f>INDEX('02_境界时间轴'!$I$6:$I$17,A108)</x:f>
        <x:v>扩展锚点</x:v>
      </x:c>
    </x:row>
    <x:row r="109">
      <x:c r="A109" s="30" t="n">
        <x:v>11</x:v>
      </x:c>
      <x:c r="B109" s="36" t="str">
        <x:f>INDEX('02_境界时间轴'!$B$6:$B$17,A109)</x:f>
        <x:v>元婴</x:v>
      </x:c>
      <x:c r="C109" s="36" t="str">
        <x:f>INDEX('02_境界时间轴'!$C$6:$C$17,A109)</x:f>
        <x:v>元婴</x:v>
      </x:c>
      <x:c r="D109" s="30" t="n">
        <x:v>4</x:v>
      </x:c>
      <x:c r="E109" s="46" t="n">
        <x:f>POWER(D109,'01_核心假设'!$B$37)</x:f>
        <x:v>5.278031643091577</x:v>
      </x:c>
      <x:c r="F109" s="46" t="n">
        <x:f>INDEX('02_境界时间轴'!$E$6:$E$17,A109)</x:f>
        <x:v>750000</x:v>
      </x:c>
      <x:c r="G109" s="46" t="n">
        <x:f>ROUND(F109*E109/SUM($E$106:$E$115),0)</x:f>
        <x:v>49439</x:v>
      </x:c>
      <x:c r="H109" s="46" t="n">
        <x:f>H108+G109</x:f>
        <x:v>665327</x:v>
      </x:c>
      <x:c r="I109" s="56" t="n">
        <x:f>G109/'01_核心假设'!$B$13</x:f>
        <x:v>183.1074074074074</x:v>
      </x:c>
      <x:c r="J109" s="36" t="str">
        <x:f>INDEX('02_境界时间轴'!$I$6:$I$17,A109)</x:f>
        <x:v>扩展锚点</x:v>
      </x:c>
    </x:row>
    <x:row r="110">
      <x:c r="A110" s="30" t="n">
        <x:v>11</x:v>
      </x:c>
      <x:c r="B110" s="36" t="str">
        <x:f>INDEX('02_境界时间轴'!$B$6:$B$17,A110)</x:f>
        <x:v>元婴</x:v>
      </x:c>
      <x:c r="C110" s="36" t="str">
        <x:f>INDEX('02_境界时间轴'!$C$6:$C$17,A110)</x:f>
        <x:v>元婴</x:v>
      </x:c>
      <x:c r="D110" s="30" t="n">
        <x:v>5</x:v>
      </x:c>
      <x:c r="E110" s="46" t="n">
        <x:f>POWER(D110,'01_核心假设'!$B$37)</x:f>
        <x:v>6.898648307306074</x:v>
      </x:c>
      <x:c r="F110" s="46" t="n">
        <x:f>INDEX('02_境界时间轴'!$E$6:$E$17,A110)</x:f>
        <x:v>750000</x:v>
      </x:c>
      <x:c r="G110" s="46" t="n">
        <x:f>ROUND(F110*E110/SUM($E$106:$E$115),0)</x:f>
        <x:v>64619</x:v>
      </x:c>
      <x:c r="H110" s="46" t="n">
        <x:f>H109+G110</x:f>
        <x:v>729946</x:v>
      </x:c>
      <x:c r="I110" s="56" t="n">
        <x:f>G110/'01_核心假设'!$B$13</x:f>
        <x:v>239.32962962962964</x:v>
      </x:c>
      <x:c r="J110" s="36" t="str">
        <x:f>INDEX('02_境界时间轴'!$I$6:$I$17,A110)</x:f>
        <x:v>扩展锚点</x:v>
      </x:c>
    </x:row>
    <x:row r="111">
      <x:c r="A111" s="30" t="n">
        <x:v>11</x:v>
      </x:c>
      <x:c r="B111" s="36" t="str">
        <x:f>INDEX('02_境界时间轴'!$B$6:$B$17,A111)</x:f>
        <x:v>元婴</x:v>
      </x:c>
      <x:c r="C111" s="36" t="str">
        <x:f>INDEX('02_境界时间轴'!$C$6:$C$17,A111)</x:f>
        <x:v>元婴</x:v>
      </x:c>
      <x:c r="D111" s="30" t="n">
        <x:v>6</x:v>
      </x:c>
      <x:c r="E111" s="46" t="n">
        <x:f>POWER(D111,'01_核心假设'!$B$37)</x:f>
        <x:v>8.585814486631532</x:v>
      </x:c>
      <x:c r="F111" s="46" t="n">
        <x:f>INDEX('02_境界时间轴'!$E$6:$E$17,A111)</x:f>
        <x:v>750000</x:v>
      </x:c>
      <x:c r="G111" s="46" t="n">
        <x:f>ROUND(F111*E111/SUM($E$106:$E$115),0)</x:f>
        <x:v>80423</x:v>
      </x:c>
      <x:c r="H111" s="46" t="n">
        <x:f>H110+G111</x:f>
        <x:v>810369</x:v>
      </x:c>
      <x:c r="I111" s="56" t="n">
        <x:f>G111/'01_核心假设'!$B$13</x:f>
        <x:v>297.86296296296297</x:v>
      </x:c>
      <x:c r="J111" s="36" t="str">
        <x:f>INDEX('02_境界时间轴'!$I$6:$I$17,A111)</x:f>
        <x:v>扩展锚点</x:v>
      </x:c>
    </x:row>
    <x:row r="112">
      <x:c r="A112" s="30" t="n">
        <x:v>11</x:v>
      </x:c>
      <x:c r="B112" s="36" t="str">
        <x:f>INDEX('02_境界时间轴'!$B$6:$B$17,A112)</x:f>
        <x:v>元婴</x:v>
      </x:c>
      <x:c r="C112" s="36" t="str">
        <x:f>INDEX('02_境界时间轴'!$C$6:$C$17,A112)</x:f>
        <x:v>元婴</x:v>
      </x:c>
      <x:c r="D112" s="30" t="n">
        <x:v>7</x:v>
      </x:c>
      <x:c r="E112" s="46" t="n">
        <x:f>POWER(D112,'01_核心假设'!$B$37)</x:f>
        <x:v>10.330412131161864</x:v>
      </x:c>
      <x:c r="F112" s="46" t="n">
        <x:f>INDEX('02_境界时间轴'!$E$6:$E$17,A112)</x:f>
        <x:v>750000</x:v>
      </x:c>
      <x:c r="G112" s="46" t="n">
        <x:f>ROUND(F112*E112/SUM($E$106:$E$115),0)</x:f>
        <x:v>96764</x:v>
      </x:c>
      <x:c r="H112" s="46" t="n">
        <x:f>H111+G112</x:f>
        <x:v>907133</x:v>
      </x:c>
      <x:c r="I112" s="56" t="n">
        <x:f>G112/'01_核心假设'!$B$13</x:f>
        <x:v>358.3851851851852</x:v>
      </x:c>
      <x:c r="J112" s="36" t="str">
        <x:f>INDEX('02_境界时间轴'!$I$6:$I$17,A112)</x:f>
        <x:v>扩展锚点</x:v>
      </x:c>
    </x:row>
    <x:row r="113">
      <x:c r="A113" s="30" t="n">
        <x:v>11</x:v>
      </x:c>
      <x:c r="B113" s="36" t="str">
        <x:f>INDEX('02_境界时间轴'!$B$6:$B$17,A113)</x:f>
        <x:v>元婴</x:v>
      </x:c>
      <x:c r="C113" s="36" t="str">
        <x:f>INDEX('02_境界时间轴'!$C$6:$C$17,A113)</x:f>
        <x:v>元婴</x:v>
      </x:c>
      <x:c r="D113" s="30" t="n">
        <x:v>8</x:v>
      </x:c>
      <x:c r="E113" s="46" t="n">
        <x:f>POWER(D113,'01_核心假设'!$B$37)</x:f>
        <x:v>12.125732532083184</x:v>
      </x:c>
      <x:c r="F113" s="46" t="n">
        <x:f>INDEX('02_境界时间轴'!$E$6:$E$17,A113)</x:f>
        <x:v>750000</x:v>
      </x:c>
      <x:c r="G113" s="46" t="n">
        <x:f>ROUND(F113*E113/SUM($E$106:$E$115),0)</x:f>
        <x:v>113581</x:v>
      </x:c>
      <x:c r="H113" s="46" t="n">
        <x:f>H112+G113</x:f>
        <x:v>1020714</x:v>
      </x:c>
      <x:c r="I113" s="56" t="n">
        <x:f>G113/'01_核心假设'!$B$13</x:f>
        <x:v>420.6703703703704</x:v>
      </x:c>
      <x:c r="J113" s="36" t="str">
        <x:f>INDEX('02_境界时间轴'!$I$6:$I$17,A113)</x:f>
        <x:v>扩展锚点</x:v>
      </x:c>
    </x:row>
    <x:row r="114">
      <x:c r="A114" s="30" t="n">
        <x:v>11</x:v>
      </x:c>
      <x:c r="B114" s="36" t="str">
        <x:f>INDEX('02_境界时间轴'!$B$6:$B$17,A114)</x:f>
        <x:v>元婴</x:v>
      </x:c>
      <x:c r="C114" s="36" t="str">
        <x:f>INDEX('02_境界时间轴'!$C$6:$C$17,A114)</x:f>
        <x:v>元婴</x:v>
      </x:c>
      <x:c r="D114" s="30" t="n">
        <x:v>9</x:v>
      </x:c>
      <x:c r="E114" s="46" t="n">
        <x:f>POWER(D114,'01_核心假设'!$B$37)</x:f>
        <x:v>13.966610165238235</x:v>
      </x:c>
      <x:c r="F114" s="46" t="n">
        <x:f>INDEX('02_境界时间轴'!$E$6:$E$17,A114)</x:f>
        <x:v>750000</x:v>
      </x:c>
      <x:c r="G114" s="46" t="n">
        <x:f>ROUND(F114*E114/SUM($E$106:$E$115),0)</x:f>
        <x:v>130825</x:v>
      </x:c>
      <x:c r="H114" s="46" t="n">
        <x:f>H113+G114</x:f>
        <x:v>1151539</x:v>
      </x:c>
      <x:c r="I114" s="56" t="n">
        <x:f>G114/'01_核心假设'!$B$13</x:f>
        <x:v>484.537037037037</x:v>
      </x:c>
      <x:c r="J114" s="36" t="str">
        <x:f>INDEX('02_境界时间轴'!$I$6:$I$17,A114)</x:f>
        <x:v>扩展锚点</x:v>
      </x:c>
    </x:row>
    <x:row r="115">
      <x:c r="A115" s="30" t="n">
        <x:v>11</x:v>
      </x:c>
      <x:c r="B115" s="36" t="str">
        <x:f>INDEX('02_境界时间轴'!$B$6:$B$17,A115)</x:f>
        <x:v>元婴</x:v>
      </x:c>
      <x:c r="C115" s="36" t="str">
        <x:f>INDEX('02_境界时间轴'!$C$6:$C$17,A115)</x:f>
        <x:v>元婴</x:v>
      </x:c>
      <x:c r="D115" s="30" t="n">
        <x:v>10</x:v>
      </x:c>
      <x:c r="E115" s="46" t="n">
        <x:f>POWER(D115,'01_核心假设'!$B$37)</x:f>
        <x:v>15.848931924611133</x:v>
      </x:c>
      <x:c r="F115" s="46" t="n">
        <x:f>INDEX('02_境界时间轴'!$E$6:$E$17,A115)</x:f>
        <x:v>750000</x:v>
      </x:c>
      <x:c r="G115" s="46" t="n">
        <x:f>ROUND(F115*E115/SUM($E$106:$E$115),0)</x:f>
        <x:v>148456</x:v>
      </x:c>
      <x:c r="H115" s="46" t="n">
        <x:f>H114+G115</x:f>
        <x:v>1299995</x:v>
      </x:c>
      <x:c r="I115" s="56" t="n">
        <x:f>G115/'01_核心假设'!$B$13</x:f>
        <x:v>549.837037037037</x:v>
      </x:c>
      <x:c r="J115" s="36" t="str">
        <x:f>INDEX('02_境界时间轴'!$I$6:$I$17,A115)</x:f>
        <x:v>扩展锚点</x:v>
      </x:c>
    </x:row>
    <x:row r="116">
      <x:c r="A116" s="30" t="n">
        <x:v>12</x:v>
      </x:c>
      <x:c r="B116" s="36" t="str">
        <x:f>INDEX('02_境界时间轴'!$B$6:$B$17,A116)</x:f>
        <x:v>化神</x:v>
      </x:c>
      <x:c r="C116" s="36" t="str">
        <x:f>INDEX('02_境界时间轴'!$C$6:$C$17,A116)</x:f>
        <x:v>化神</x:v>
      </x:c>
      <x:c r="D116" s="30" t="n">
        <x:v>1</x:v>
      </x:c>
      <x:c r="E116" s="46" t="n">
        <x:f>POWER(D116,'01_核心假设'!$B$37)</x:f>
        <x:v>1</x:v>
      </x:c>
      <x:c r="F116" s="46" t="n">
        <x:f>INDEX('02_境界时间轴'!$E$6:$E$17,A116)</x:f>
        <x:v>1200000</x:v>
      </x:c>
      <x:c r="G116" s="46" t="n">
        <x:f>ROUND(F116*E116/SUM($E$116:$E$125),0)</x:f>
        <x:v>14987</x:v>
      </x:c>
      <x:c r="H116" s="46" t="n">
        <x:f>H115+G116</x:f>
        <x:v>1314982</x:v>
      </x:c>
      <x:c r="I116" s="56" t="n">
        <x:f>G116/'01_核心假设'!$B$13</x:f>
        <x:v>55.507407407407406</x:v>
      </x:c>
      <x:c r="J116" s="36" t="str">
        <x:f>INDEX('02_境界时间轴'!$I$6:$I$17,A116)</x:f>
        <x:v>扩展锚点</x:v>
      </x:c>
    </x:row>
    <x:row r="117">
      <x:c r="A117" s="30" t="n">
        <x:v>12</x:v>
      </x:c>
      <x:c r="B117" s="36" t="str">
        <x:f>INDEX('02_境界时间轴'!$B$6:$B$17,A117)</x:f>
        <x:v>化神</x:v>
      </x:c>
      <x:c r="C117" s="36" t="str">
        <x:f>INDEX('02_境界时间轴'!$C$6:$C$17,A117)</x:f>
        <x:v>化神</x:v>
      </x:c>
      <x:c r="D117" s="30" t="n">
        <x:v>2</x:v>
      </x:c>
      <x:c r="E117" s="46" t="n">
        <x:f>POWER(D117,'01_核心假设'!$B$37)</x:f>
        <x:v>2.2973967099940698</x:v>
      </x:c>
      <x:c r="F117" s="46" t="n">
        <x:f>INDEX('02_境界时间轴'!$E$6:$E$17,A117)</x:f>
        <x:v>1200000</x:v>
      </x:c>
      <x:c r="G117" s="46" t="n">
        <x:f>ROUND(F117*E117/SUM($E$116:$E$125),0)</x:f>
        <x:v>34431</x:v>
      </x:c>
      <x:c r="H117" s="46" t="n">
        <x:f>H116+G117</x:f>
        <x:v>1349413</x:v>
      </x:c>
      <x:c r="I117" s="56" t="n">
        <x:f>G117/'01_核心假设'!$B$13</x:f>
        <x:v>127.52222222222223</x:v>
      </x:c>
      <x:c r="J117" s="36" t="str">
        <x:f>INDEX('02_境界时间轴'!$I$6:$I$17,A117)</x:f>
        <x:v>扩展锚点</x:v>
      </x:c>
    </x:row>
    <x:row r="118">
      <x:c r="A118" s="30" t="n">
        <x:v>12</x:v>
      </x:c>
      <x:c r="B118" s="36" t="str">
        <x:f>INDEX('02_境界时间轴'!$B$6:$B$17,A118)</x:f>
        <x:v>化神</x:v>
      </x:c>
      <x:c r="C118" s="36" t="str">
        <x:f>INDEX('02_境界时间轴'!$C$6:$C$17,A118)</x:f>
        <x:v>化神</x:v>
      </x:c>
      <x:c r="D118" s="30" t="n">
        <x:v>3</x:v>
      </x:c>
      <x:c r="E118" s="46" t="n">
        <x:f>POWER(D118,'01_核心假设'!$B$37)</x:f>
        <x:v>3.7371928188465517</x:v>
      </x:c>
      <x:c r="F118" s="46" t="n">
        <x:f>INDEX('02_境界时间轴'!$E$6:$E$17,A118)</x:f>
        <x:v>1200000</x:v>
      </x:c>
      <x:c r="G118" s="46" t="n">
        <x:f>ROUND(F118*E118/SUM($E$116:$E$125),0)</x:f>
        <x:v>56010</x:v>
      </x:c>
      <x:c r="H118" s="46" t="n">
        <x:f>H117+G118</x:f>
        <x:v>1405423</x:v>
      </x:c>
      <x:c r="I118" s="56" t="n">
        <x:f>G118/'01_核心假设'!$B$13</x:f>
        <x:v>207.44444444444446</x:v>
      </x:c>
      <x:c r="J118" s="36" t="str">
        <x:f>INDEX('02_境界时间轴'!$I$6:$I$17,A118)</x:f>
        <x:v>扩展锚点</x:v>
      </x:c>
    </x:row>
    <x:row r="119">
      <x:c r="A119" s="30" t="n">
        <x:v>12</x:v>
      </x:c>
      <x:c r="B119" s="36" t="str">
        <x:f>INDEX('02_境界时间轴'!$B$6:$B$17,A119)</x:f>
        <x:v>化神</x:v>
      </x:c>
      <x:c r="C119" s="36" t="str">
        <x:f>INDEX('02_境界时间轴'!$C$6:$C$17,A119)</x:f>
        <x:v>化神</x:v>
      </x:c>
      <x:c r="D119" s="30" t="n">
        <x:v>4</x:v>
      </x:c>
      <x:c r="E119" s="46" t="n">
        <x:f>POWER(D119,'01_核心假设'!$B$37)</x:f>
        <x:v>5.278031643091577</x:v>
      </x:c>
      <x:c r="F119" s="46" t="n">
        <x:f>INDEX('02_境界时间轴'!$E$6:$E$17,A119)</x:f>
        <x:v>1200000</x:v>
      </x:c>
      <x:c r="G119" s="46" t="n">
        <x:f>ROUND(F119*E119/SUM($E$116:$E$125),0)</x:f>
        <x:v>79102</x:v>
      </x:c>
      <x:c r="H119" s="46" t="n">
        <x:f>H118+G119</x:f>
        <x:v>1484525</x:v>
      </x:c>
      <x:c r="I119" s="56" t="n">
        <x:f>G119/'01_核心假设'!$B$13</x:f>
        <x:v>292.97037037037035</x:v>
      </x:c>
      <x:c r="J119" s="36" t="str">
        <x:f>INDEX('02_境界时间轴'!$I$6:$I$17,A119)</x:f>
        <x:v>扩展锚点</x:v>
      </x:c>
    </x:row>
    <x:row r="120">
      <x:c r="A120" s="30" t="n">
        <x:v>12</x:v>
      </x:c>
      <x:c r="B120" s="36" t="str">
        <x:f>INDEX('02_境界时间轴'!$B$6:$B$17,A120)</x:f>
        <x:v>化神</x:v>
      </x:c>
      <x:c r="C120" s="36" t="str">
        <x:f>INDEX('02_境界时间轴'!$C$6:$C$17,A120)</x:f>
        <x:v>化神</x:v>
      </x:c>
      <x:c r="D120" s="30" t="n">
        <x:v>5</x:v>
      </x:c>
      <x:c r="E120" s="46" t="n">
        <x:f>POWER(D120,'01_核心假设'!$B$37)</x:f>
        <x:v>6.898648307306074</x:v>
      </x:c>
      <x:c r="F120" s="46" t="n">
        <x:f>INDEX('02_境界时间轴'!$E$6:$E$17,A120)</x:f>
        <x:v>1200000</x:v>
      </x:c>
      <x:c r="G120" s="46" t="n">
        <x:f>ROUND(F120*E120/SUM($E$116:$E$125),0)</x:f>
        <x:v>103391</x:v>
      </x:c>
      <x:c r="H120" s="46" t="n">
        <x:f>H119+G120</x:f>
        <x:v>1587916</x:v>
      </x:c>
      <x:c r="I120" s="56" t="n">
        <x:f>G120/'01_核心假设'!$B$13</x:f>
        <x:v>382.92962962962963</x:v>
      </x:c>
      <x:c r="J120" s="36" t="str">
        <x:f>INDEX('02_境界时间轴'!$I$6:$I$17,A120)</x:f>
        <x:v>扩展锚点</x:v>
      </x:c>
    </x:row>
    <x:row r="121">
      <x:c r="A121" s="30" t="n">
        <x:v>12</x:v>
      </x:c>
      <x:c r="B121" s="36" t="str">
        <x:f>INDEX('02_境界时间轴'!$B$6:$B$17,A121)</x:f>
        <x:v>化神</x:v>
      </x:c>
      <x:c r="C121" s="36" t="str">
        <x:f>INDEX('02_境界时间轴'!$C$6:$C$17,A121)</x:f>
        <x:v>化神</x:v>
      </x:c>
      <x:c r="D121" s="30" t="n">
        <x:v>6</x:v>
      </x:c>
      <x:c r="E121" s="46" t="n">
        <x:f>POWER(D121,'01_核心假设'!$B$37)</x:f>
        <x:v>8.585814486631532</x:v>
      </x:c>
      <x:c r="F121" s="46" t="n">
        <x:f>INDEX('02_境界时间轴'!$E$6:$E$17,A121)</x:f>
        <x:v>1200000</x:v>
      </x:c>
      <x:c r="G121" s="46" t="n">
        <x:f>ROUND(F121*E121/SUM($E$116:$E$125),0)</x:f>
        <x:v>128677</x:v>
      </x:c>
      <x:c r="H121" s="46" t="n">
        <x:f>H120+G121</x:f>
        <x:v>1716593</x:v>
      </x:c>
      <x:c r="I121" s="56" t="n">
        <x:f>G121/'01_核心假设'!$B$13</x:f>
        <x:v>476.5814814814815</x:v>
      </x:c>
      <x:c r="J121" s="36" t="str">
        <x:f>INDEX('02_境界时间轴'!$I$6:$I$17,A121)</x:f>
        <x:v>扩展锚点</x:v>
      </x:c>
    </x:row>
    <x:row r="122">
      <x:c r="A122" s="30" t="n">
        <x:v>12</x:v>
      </x:c>
      <x:c r="B122" s="36" t="str">
        <x:f>INDEX('02_境界时间轴'!$B$6:$B$17,A122)</x:f>
        <x:v>化神</x:v>
      </x:c>
      <x:c r="C122" s="36" t="str">
        <x:f>INDEX('02_境界时间轴'!$C$6:$C$17,A122)</x:f>
        <x:v>化神</x:v>
      </x:c>
      <x:c r="D122" s="30" t="n">
        <x:v>7</x:v>
      </x:c>
      <x:c r="E122" s="46" t="n">
        <x:f>POWER(D122,'01_核心假设'!$B$37)</x:f>
        <x:v>10.330412131161864</x:v>
      </x:c>
      <x:c r="F122" s="46" t="n">
        <x:f>INDEX('02_境界时间轴'!$E$6:$E$17,A122)</x:f>
        <x:v>1200000</x:v>
      </x:c>
      <x:c r="G122" s="46" t="n">
        <x:f>ROUND(F122*E122/SUM($E$116:$E$125),0)</x:f>
        <x:v>154823</x:v>
      </x:c>
      <x:c r="H122" s="46" t="n">
        <x:f>H121+G122</x:f>
        <x:v>1871416</x:v>
      </x:c>
      <x:c r="I122" s="56" t="n">
        <x:f>G122/'01_核心假设'!$B$13</x:f>
        <x:v>573.4185185185186</x:v>
      </x:c>
      <x:c r="J122" s="36" t="str">
        <x:f>INDEX('02_境界时间轴'!$I$6:$I$17,A122)</x:f>
        <x:v>扩展锚点</x:v>
      </x:c>
    </x:row>
    <x:row r="123">
      <x:c r="A123" s="30" t="n">
        <x:v>12</x:v>
      </x:c>
      <x:c r="B123" s="36" t="str">
        <x:f>INDEX('02_境界时间轴'!$B$6:$B$17,A123)</x:f>
        <x:v>化神</x:v>
      </x:c>
      <x:c r="C123" s="36" t="str">
        <x:f>INDEX('02_境界时间轴'!$C$6:$C$17,A123)</x:f>
        <x:v>化神</x:v>
      </x:c>
      <x:c r="D123" s="30" t="n">
        <x:v>8</x:v>
      </x:c>
      <x:c r="E123" s="46" t="n">
        <x:f>POWER(D123,'01_核心假设'!$B$37)</x:f>
        <x:v>12.125732532083184</x:v>
      </x:c>
      <x:c r="F123" s="46" t="n">
        <x:f>INDEX('02_境界时间轴'!$E$6:$E$17,A123)</x:f>
        <x:v>1200000</x:v>
      </x:c>
      <x:c r="G123" s="46" t="n">
        <x:f>ROUND(F123*E123/SUM($E$116:$E$125),0)</x:f>
        <x:v>181730</x:v>
      </x:c>
      <x:c r="H123" s="46" t="n">
        <x:f>H122+G123</x:f>
        <x:v>2053146</x:v>
      </x:c>
      <x:c r="I123" s="56" t="n">
        <x:f>G123/'01_核心假设'!$B$13</x:f>
        <x:v>673.074074074074</x:v>
      </x:c>
      <x:c r="J123" s="36" t="str">
        <x:f>INDEX('02_境界时间轴'!$I$6:$I$17,A123)</x:f>
        <x:v>扩展锚点</x:v>
      </x:c>
    </x:row>
    <x:row r="124">
      <x:c r="A124" s="30" t="n">
        <x:v>12</x:v>
      </x:c>
      <x:c r="B124" s="36" t="str">
        <x:f>INDEX('02_境界时间轴'!$B$6:$B$17,A124)</x:f>
        <x:v>化神</x:v>
      </x:c>
      <x:c r="C124" s="36" t="str">
        <x:f>INDEX('02_境界时间轴'!$C$6:$C$17,A124)</x:f>
        <x:v>化神</x:v>
      </x:c>
      <x:c r="D124" s="30" t="n">
        <x:v>9</x:v>
      </x:c>
      <x:c r="E124" s="46" t="n">
        <x:f>POWER(D124,'01_核心假设'!$B$37)</x:f>
        <x:v>13.966610165238235</x:v>
      </x:c>
      <x:c r="F124" s="46" t="n">
        <x:f>INDEX('02_境界时间轴'!$E$6:$E$17,A124)</x:f>
        <x:v>1200000</x:v>
      </x:c>
      <x:c r="G124" s="46" t="n">
        <x:f>ROUND(F124*E124/SUM($E$116:$E$125),0)</x:f>
        <x:v>209319</x:v>
      </x:c>
      <x:c r="H124" s="46" t="n">
        <x:f>H123+G124</x:f>
        <x:v>2262465</x:v>
      </x:c>
      <x:c r="I124" s="56" t="n">
        <x:f>G124/'01_核心假设'!$B$13</x:f>
        <x:v>775.2555555555556</x:v>
      </x:c>
      <x:c r="J124" s="36" t="str">
        <x:f>INDEX('02_境界时间轴'!$I$6:$I$17,A124)</x:f>
        <x:v>扩展锚点</x:v>
      </x:c>
    </x:row>
    <x:row r="125">
      <x:c r="A125" s="31" t="n">
        <x:v>12</x:v>
      </x:c>
      <x:c r="B125" s="37" t="str">
        <x:f>INDEX('02_境界时间轴'!$B$6:$B$17,A125)</x:f>
        <x:v>化神</x:v>
      </x:c>
      <x:c r="C125" s="37" t="str">
        <x:f>INDEX('02_境界时间轴'!$C$6:$C$17,A125)</x:f>
        <x:v>化神</x:v>
      </x:c>
      <x:c r="D125" s="31" t="n">
        <x:v>10</x:v>
      </x:c>
      <x:c r="E125" s="48" t="n">
        <x:f>POWER(D125,'01_核心假设'!$B$37)</x:f>
        <x:v>15.848931924611133</x:v>
      </x:c>
      <x:c r="F125" s="48" t="n">
        <x:f>INDEX('02_境界时间轴'!$E$6:$E$17,A125)</x:f>
        <x:v>1200000</x:v>
      </x:c>
      <x:c r="G125" s="48" t="n">
        <x:f>ROUND(F125*E125/SUM($E$116:$E$125),0)</x:f>
        <x:v>237530</x:v>
      </x:c>
      <x:c r="H125" s="48" t="n">
        <x:f>H124+G125</x:f>
        <x:v>2499995</x:v>
      </x:c>
      <x:c r="I125" s="57" t="n">
        <x:f>G125/'01_核心假设'!$B$13</x:f>
        <x:v>879.7407407407408</x:v>
      </x:c>
      <x:c r="J125" s="37" t="str">
        <x:f>INDEX('02_境界时间轴'!$I$6:$I$17,A125)</x:f>
        <x:v>扩展锚点</x:v>
      </x:c>
    </x:row>
  </x:sheetData>
  <x:mergeCells>
    <x:mergeCell ref="A1:J1"/>
    <x:mergeCell ref="A2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2" hidden="0" customWidth="1"/>
    <x:col min="8" max="8" width="12" hidden="0" customWidth="1"/>
    <x:col min="9" max="9" width="16" hidden="0" customWidth="1"/>
  </x:cols>
  <x:sheetData>
    <x:row r="1" ht="30" customHeight="1">
      <x:c r="A1" s="3" t="str">
        <x:v>百艺XP与技能成长</x:v>
      </x:c>
      <x:c r="B1" s="3" t="str">
        <x:v>百艺XP与技能成长</x:v>
      </x:c>
      <x:c r="C1" s="3" t="str">
        <x:v>百艺XP与技能成长</x:v>
      </x:c>
      <x:c r="D1" s="3" t="str">
        <x:v>百艺XP与技能成长</x:v>
      </x:c>
      <x:c r="E1" s="3" t="str">
        <x:v>百艺XP与技能成长</x:v>
      </x:c>
      <x:c r="F1" s="3" t="str">
        <x:v>百艺XP与技能成长</x:v>
      </x:c>
      <x:c r="G1" s="3" t="str">
        <x:v>百艺XP与技能成长</x:v>
      </x:c>
      <x:c r="H1" s="3" t="str">
        <x:v>百艺XP与技能成长</x:v>
      </x:c>
      <x:c r="I1" s="3" t="str">
        <x:v>百艺XP与技能成长</x:v>
      </x:c>
    </x:row>
    <x:row r="2">
      <x:c r="A2" s="7" t="str">
        <x:v>MVP主要平衡Lv1～50，Lv51～100保留长期锚点。速度和效率是独立乘区，工具节点由工具梯度表自动识别。</x:v>
      </x:c>
      <x:c r="B2" s="7" t="str">
        <x:v>MVP主要平衡Lv1～50，Lv51～100保留长期锚点。速度和效率是独立乘区，工具节点由工具梯度表自动识别。</x:v>
      </x:c>
      <x:c r="C2" s="7" t="str">
        <x:v>MVP主要平衡Lv1～50，Lv51～100保留长期锚点。速度和效率是独立乘区，工具节点由工具梯度表自动识别。</x:v>
      </x:c>
      <x:c r="D2" s="7" t="str">
        <x:v>MVP主要平衡Lv1～50，Lv51～100保留长期锚点。速度和效率是独立乘区，工具节点由工具梯度表自动识别。</x:v>
      </x:c>
      <x:c r="E2" s="7" t="str">
        <x:v>MVP主要平衡Lv1～50，Lv51～100保留长期锚点。速度和效率是独立乘区，工具节点由工具梯度表自动识别。</x:v>
      </x:c>
      <x:c r="F2" s="7" t="str">
        <x:v>MVP主要平衡Lv1～50，Lv51～100保留长期锚点。速度和效率是独立乘区，工具节点由工具梯度表自动识别。</x:v>
      </x:c>
      <x:c r="G2" s="7" t="str">
        <x:v>MVP主要平衡Lv1～50，Lv51～100保留长期锚点。速度和效率是独立乘区，工具节点由工具梯度表自动识别。</x:v>
      </x:c>
      <x:c r="H2" s="7" t="str">
        <x:v>MVP主要平衡Lv1～50，Lv51～100保留长期锚点。速度和效率是独立乘区，工具节点由工具梯度表自动识别。</x:v>
      </x:c>
      <x:c r="I2" s="7" t="str">
        <x:v>MVP主要平衡Lv1～50，Lv51～100保留长期锚点。速度和效率是独立乘区，工具节点由工具梯度表自动识别。</x:v>
      </x:c>
    </x:row>
    <x:row r="3">
      <x:c r="A3" s="7" t="str">
        <x:v>MVP主要平衡Lv1～50，Lv51～100保留长期锚点。速度和效率是独立乘区，工具节点由工具梯度表自动识别。</x:v>
      </x:c>
      <x:c r="B3" s="7" t="str">
        <x:v>MVP主要平衡Lv1～50，Lv51～100保留长期锚点。速度和效率是独立乘区，工具节点由工具梯度表自动识别。</x:v>
      </x:c>
      <x:c r="C3" s="7" t="str">
        <x:v>MVP主要平衡Lv1～50，Lv51～100保留长期锚点。速度和效率是独立乘区，工具节点由工具梯度表自动识别。</x:v>
      </x:c>
      <x:c r="D3" s="7" t="str">
        <x:v>MVP主要平衡Lv1～50，Lv51～100保留长期锚点。速度和效率是独立乘区，工具节点由工具梯度表自动识别。</x:v>
      </x:c>
      <x:c r="E3" s="7" t="str">
        <x:v>MVP主要平衡Lv1～50，Lv51～100保留长期锚点。速度和效率是独立乘区，工具节点由工具梯度表自动识别。</x:v>
      </x:c>
      <x:c r="F3" s="7" t="str">
        <x:v>MVP主要平衡Lv1～50，Lv51～100保留长期锚点。速度和效率是独立乘区，工具节点由工具梯度表自动识别。</x:v>
      </x:c>
      <x:c r="G3" s="7" t="str">
        <x:v>MVP主要平衡Lv1～50，Lv51～100保留长期锚点。速度和效率是独立乘区，工具节点由工具梯度表自动识别。</x:v>
      </x:c>
      <x:c r="H3" s="7" t="str">
        <x:v>MVP主要平衡Lv1～50，Lv51～100保留长期锚点。速度和效率是独立乘区，工具节点由工具梯度表自动识别。</x:v>
      </x:c>
      <x:c r="I3" s="7" t="str">
        <x:v>MVP主要平衡Lv1～50，Lv51～100保留长期锚点。速度和效率是独立乘区，工具节点由工具梯度表自动识别。</x:v>
      </x:c>
    </x:row>
    <x:row r="5" ht="28" customHeight="1">
      <x:c r="A5" s="19" t="str">
        <x:v>技能等级</x:v>
      </x:c>
      <x:c r="B5" s="20" t="str">
        <x:v>范围</x:v>
      </x:c>
      <x:c r="C5" s="20" t="str">
        <x:v>到下级XP</x:v>
      </x:c>
      <x:c r="D5" s="20" t="str">
        <x:v>累计XP</x:v>
      </x:c>
      <x:c r="E5" s="20" t="str">
        <x:v>基准行动数</x:v>
      </x:c>
      <x:c r="F5" s="20" t="str">
        <x:v>基准升级小时</x:v>
      </x:c>
      <x:c r="G5" s="20" t="str">
        <x:v>技能速度</x:v>
      </x:c>
      <x:c r="H5" s="20" t="str">
        <x:v>技能效率</x:v>
      </x:c>
      <x:c r="I5" s="21" t="str">
        <x:v>阶段节点</x:v>
      </x:c>
    </x:row>
    <x:row r="6">
      <x:c r="A6" s="29" t="n">
        <x:v>1</x:v>
      </x:c>
      <x:c r="B6" s="35" t="str">
        <x:f>IF(A6&lt;=50,"MVP","扩展锚点")</x:f>
        <x:v>MVP</x:v>
      </x:c>
      <x:c r="C6" s="45" t="n">
        <x:f>ROUND('01_核心假设'!$B$35*POWER(A6,'01_核心假设'!$B$36),0)</x:f>
        <x:v>20</x:v>
      </x:c>
      <x:c r="D6" s="45" t="n">
        <x:f>C6</x:f>
        <x:v>20</x:v>
      </x:c>
      <x:c r="E6" s="45" t="n">
        <x:f>C6/'01_核心假设'!$B$38</x:f>
        <x:v>2.5</x:v>
      </x:c>
      <x:c r="F6" s="58" t="n">
        <x:f>E6*30/'01_核心假设'!$B$8</x:f>
        <x:v>1.25</x:v>
      </x:c>
      <x:c r="G6" s="61" t="n">
        <x:f>MIN(A6*'01_核心假设'!$B$18,'01_核心假设'!$B$20)</x:f>
        <x:v>0.004</x:v>
      </x:c>
      <x:c r="H6" s="61" t="n">
        <x:f>MIN(A6*'01_核心假设'!$B$19,'01_核心假设'!$B$21)</x:f>
        <x:v>0.006</x:v>
      </x:c>
      <x:c r="I6" s="35" t="str">
        <x:f>IF(COUNTIF('08_工具梯度'!$D$6:$D$30,A6)&gt;0,"工具节点","")</x:f>
        <x:v>工具节点</x:v>
      </x:c>
    </x:row>
    <x:row r="7">
      <x:c r="A7" s="30" t="n">
        <x:v>2</x:v>
      </x:c>
      <x:c r="B7" s="36" t="str">
        <x:f>IF(A7&lt;=50,"MVP","扩展锚点")</x:f>
        <x:v>MVP</x:v>
      </x:c>
      <x:c r="C7" s="46" t="n">
        <x:f>ROUND('01_核心假设'!$B$35*POWER(A7,'01_核心假设'!$B$36),0)</x:f>
        <x:v>63</x:v>
      </x:c>
      <x:c r="D7" s="46" t="n">
        <x:f>D6+C7</x:f>
        <x:v>83</x:v>
      </x:c>
      <x:c r="E7" s="46" t="n">
        <x:f>C7/'01_核心假设'!$B$38</x:f>
        <x:v>7.875</x:v>
      </x:c>
      <x:c r="F7" s="59" t="n">
        <x:f>E7*30/'01_核心假设'!$B$8</x:f>
        <x:v>3.9375</x:v>
      </x:c>
      <x:c r="G7" s="62" t="n">
        <x:f>MIN(A7*'01_核心假设'!$B$18,'01_核心假设'!$B$20)</x:f>
        <x:v>0.008</x:v>
      </x:c>
      <x:c r="H7" s="62" t="n">
        <x:f>MIN(A7*'01_核心假设'!$B$19,'01_核心假设'!$B$21)</x:f>
        <x:v>0.012</x:v>
      </x:c>
      <x:c r="I7" s="36" t="str">
        <x:f>IF(COUNTIF('08_工具梯度'!$D$6:$D$30,A7)&gt;0,"工具节点","")</x:f>
      </x:c>
    </x:row>
    <x:row r="8">
      <x:c r="A8" s="30" t="n">
        <x:v>3</x:v>
      </x:c>
      <x:c r="B8" s="36" t="str">
        <x:f>IF(A8&lt;=50,"MVP","扩展锚点")</x:f>
        <x:v>MVP</x:v>
      </x:c>
      <x:c r="C8" s="46" t="n">
        <x:f>ROUND('01_核心假设'!$B$35*POWER(A8,'01_核心假设'!$B$36),0)</x:f>
        <x:v>123</x:v>
      </x:c>
      <x:c r="D8" s="46" t="n">
        <x:f>D7+C8</x:f>
        <x:v>206</x:v>
      </x:c>
      <x:c r="E8" s="46" t="n">
        <x:f>C8/'01_核心假设'!$B$38</x:f>
        <x:v>15.375</x:v>
      </x:c>
      <x:c r="F8" s="59" t="n">
        <x:f>E8*30/'01_核心假设'!$B$8</x:f>
        <x:v>7.6875</x:v>
      </x:c>
      <x:c r="G8" s="62" t="n">
        <x:f>MIN(A8*'01_核心假设'!$B$18,'01_核心假设'!$B$20)</x:f>
        <x:v>0.012</x:v>
      </x:c>
      <x:c r="H8" s="62" t="n">
        <x:f>MIN(A8*'01_核心假设'!$B$19,'01_核心假设'!$B$21)</x:f>
        <x:v>0.018000000000000002</x:v>
      </x:c>
      <x:c r="I8" s="36" t="str">
        <x:f>IF(COUNTIF('08_工具梯度'!$D$6:$D$30,A8)&gt;0,"工具节点","")</x:f>
      </x:c>
    </x:row>
    <x:row r="9">
      <x:c r="A9" s="30" t="n">
        <x:v>4</x:v>
      </x:c>
      <x:c r="B9" s="36" t="str">
        <x:f>IF(A9&lt;=50,"MVP","扩展锚点")</x:f>
        <x:v>MVP</x:v>
      </x:c>
      <x:c r="C9" s="46" t="n">
        <x:f>ROUND('01_核心假设'!$B$35*POWER(A9,'01_核心假设'!$B$36),0)</x:f>
        <x:v>197</x:v>
      </x:c>
      <x:c r="D9" s="46" t="n">
        <x:f>D8+C9</x:f>
        <x:v>403</x:v>
      </x:c>
      <x:c r="E9" s="46" t="n">
        <x:f>C9/'01_核心假设'!$B$38</x:f>
        <x:v>24.625</x:v>
      </x:c>
      <x:c r="F9" s="59" t="n">
        <x:f>E9*30/'01_核心假设'!$B$8</x:f>
        <x:v>12.3125</x:v>
      </x:c>
      <x:c r="G9" s="62" t="n">
        <x:f>MIN(A9*'01_核心假设'!$B$18,'01_核心假设'!$B$20)</x:f>
        <x:v>0.016</x:v>
      </x:c>
      <x:c r="H9" s="62" t="n">
        <x:f>MIN(A9*'01_核心假设'!$B$19,'01_核心假设'!$B$21)</x:f>
        <x:v>0.024</x:v>
      </x:c>
      <x:c r="I9" s="36" t="str">
        <x:f>IF(COUNTIF('08_工具梯度'!$D$6:$D$30,A9)&gt;0,"工具节点","")</x:f>
      </x:c>
    </x:row>
    <x:row r="10">
      <x:c r="A10" s="30" t="n">
        <x:v>5</x:v>
      </x:c>
      <x:c r="B10" s="36" t="str">
        <x:f>IF(A10&lt;=50,"MVP","扩展锚点")</x:f>
        <x:v>MVP</x:v>
      </x:c>
      <x:c r="C10" s="46" t="n">
        <x:f>ROUND('01_核心假设'!$B$35*POWER(A10,'01_核心假设'!$B$36),0)</x:f>
        <x:v>285</x:v>
      </x:c>
      <x:c r="D10" s="46" t="n">
        <x:f>D9+C10</x:f>
        <x:v>688</x:v>
      </x:c>
      <x:c r="E10" s="46" t="n">
        <x:f>C10/'01_核心假设'!$B$38</x:f>
        <x:v>35.625</x:v>
      </x:c>
      <x:c r="F10" s="59" t="n">
        <x:f>E10*30/'01_核心假设'!$B$8</x:f>
        <x:v>17.8125</x:v>
      </x:c>
      <x:c r="G10" s="62" t="n">
        <x:f>MIN(A10*'01_核心假设'!$B$18,'01_核心假设'!$B$20)</x:f>
        <x:v>0.02</x:v>
      </x:c>
      <x:c r="H10" s="62" t="n">
        <x:f>MIN(A10*'01_核心假设'!$B$19,'01_核心假设'!$B$21)</x:f>
        <x:v>0.03</x:v>
      </x:c>
      <x:c r="I10" s="36" t="str">
        <x:f>IF(COUNTIF('08_工具梯度'!$D$6:$D$30,A10)&gt;0,"工具节点","")</x:f>
      </x:c>
    </x:row>
    <x:row r="11">
      <x:c r="A11" s="30" t="n">
        <x:v>6</x:v>
      </x:c>
      <x:c r="B11" s="36" t="str">
        <x:f>IF(A11&lt;=50,"MVP","扩展锚点")</x:f>
        <x:v>MVP</x:v>
      </x:c>
      <x:c r="C11" s="46" t="n">
        <x:f>ROUND('01_核心假设'!$B$35*POWER(A11,'01_核心假设'!$B$36),0)</x:f>
        <x:v>385</x:v>
      </x:c>
      <x:c r="D11" s="46" t="n">
        <x:f>D10+C11</x:f>
        <x:v>1073</x:v>
      </x:c>
      <x:c r="E11" s="46" t="n">
        <x:f>C11/'01_核心假设'!$B$38</x:f>
        <x:v>48.125</x:v>
      </x:c>
      <x:c r="F11" s="59" t="n">
        <x:f>E11*30/'01_核心假设'!$B$8</x:f>
        <x:v>24.0625</x:v>
      </x:c>
      <x:c r="G11" s="62" t="n">
        <x:f>MIN(A11*'01_核心假设'!$B$18,'01_核心假设'!$B$20)</x:f>
        <x:v>0.024</x:v>
      </x:c>
      <x:c r="H11" s="62" t="n">
        <x:f>MIN(A11*'01_核心假设'!$B$19,'01_核心假设'!$B$21)</x:f>
        <x:v>0.036000000000000004</x:v>
      </x:c>
      <x:c r="I11" s="36" t="str">
        <x:f>IF(COUNTIF('08_工具梯度'!$D$6:$D$30,A11)&gt;0,"工具节点","")</x:f>
      </x:c>
    </x:row>
    <x:row r="12">
      <x:c r="A12" s="30" t="n">
        <x:v>7</x:v>
      </x:c>
      <x:c r="B12" s="36" t="str">
        <x:f>IF(A12&lt;=50,"MVP","扩展锚点")</x:f>
        <x:v>MVP</x:v>
      </x:c>
      <x:c r="C12" s="46" t="n">
        <x:f>ROUND('01_核心假设'!$B$35*POWER(A12,'01_核心假设'!$B$36),0)</x:f>
        <x:v>496</x:v>
      </x:c>
      <x:c r="D12" s="46" t="n">
        <x:f>D11+C12</x:f>
        <x:v>1569</x:v>
      </x:c>
      <x:c r="E12" s="46" t="n">
        <x:f>C12/'01_核心假设'!$B$38</x:f>
        <x:v>62</x:v>
      </x:c>
      <x:c r="F12" s="59" t="n">
        <x:f>E12*30/'01_核心假设'!$B$8</x:f>
        <x:v>31</x:v>
      </x:c>
      <x:c r="G12" s="62" t="n">
        <x:f>MIN(A12*'01_核心假设'!$B$18,'01_核心假设'!$B$20)</x:f>
        <x:v>0.028</x:v>
      </x:c>
      <x:c r="H12" s="62" t="n">
        <x:f>MIN(A12*'01_核心假设'!$B$19,'01_核心假设'!$B$21)</x:f>
        <x:v>0.042</x:v>
      </x:c>
      <x:c r="I12" s="36" t="str">
        <x:f>IF(COUNTIF('08_工具梯度'!$D$6:$D$30,A12)&gt;0,"工具节点","")</x:f>
      </x:c>
    </x:row>
    <x:row r="13">
      <x:c r="A13" s="30" t="n">
        <x:v>8</x:v>
      </x:c>
      <x:c r="B13" s="36" t="str">
        <x:f>IF(A13&lt;=50,"MVP","扩展锚点")</x:f>
        <x:v>MVP</x:v>
      </x:c>
      <x:c r="C13" s="46" t="n">
        <x:f>ROUND('01_核心假设'!$B$35*POWER(A13,'01_核心假设'!$B$36),0)</x:f>
        <x:v>618</x:v>
      </x:c>
      <x:c r="D13" s="46" t="n">
        <x:f>D12+C13</x:f>
        <x:v>2187</x:v>
      </x:c>
      <x:c r="E13" s="46" t="n">
        <x:f>C13/'01_核心假设'!$B$38</x:f>
        <x:v>77.25</x:v>
      </x:c>
      <x:c r="F13" s="59" t="n">
        <x:f>E13*30/'01_核心假设'!$B$8</x:f>
        <x:v>38.625</x:v>
      </x:c>
      <x:c r="G13" s="62" t="n">
        <x:f>MIN(A13*'01_核心假设'!$B$18,'01_核心假设'!$B$20)</x:f>
        <x:v>0.032</x:v>
      </x:c>
      <x:c r="H13" s="62" t="n">
        <x:f>MIN(A13*'01_核心假设'!$B$19,'01_核心假设'!$B$21)</x:f>
        <x:v>0.048</x:v>
      </x:c>
      <x:c r="I13" s="36" t="str">
        <x:f>IF(COUNTIF('08_工具梯度'!$D$6:$D$30,A13)&gt;0,"工具节点","")</x:f>
      </x:c>
    </x:row>
    <x:row r="14">
      <x:c r="A14" s="30" t="n">
        <x:v>9</x:v>
      </x:c>
      <x:c r="B14" s="36" t="str">
        <x:f>IF(A14&lt;=50,"MVP","扩展锚点")</x:f>
        <x:v>MVP</x:v>
      </x:c>
      <x:c r="C14" s="46" t="n">
        <x:f>ROUND('01_核心假设'!$B$35*POWER(A14,'01_核心假设'!$B$36),0)</x:f>
        <x:v>751</x:v>
      </x:c>
      <x:c r="D14" s="46" t="n">
        <x:f>D13+C14</x:f>
        <x:v>2938</x:v>
      </x:c>
      <x:c r="E14" s="46" t="n">
        <x:f>C14/'01_核心假设'!$B$38</x:f>
        <x:v>93.875</x:v>
      </x:c>
      <x:c r="F14" s="59" t="n">
        <x:f>E14*30/'01_核心假设'!$B$8</x:f>
        <x:v>46.9375</x:v>
      </x:c>
      <x:c r="G14" s="62" t="n">
        <x:f>MIN(A14*'01_核心假设'!$B$18,'01_核心假设'!$B$20)</x:f>
        <x:v>0.036000000000000004</x:v>
      </x:c>
      <x:c r="H14" s="62" t="n">
        <x:f>MIN(A14*'01_核心假设'!$B$19,'01_核心假设'!$B$21)</x:f>
        <x:v>0.054</x:v>
      </x:c>
      <x:c r="I14" s="36" t="str">
        <x:f>IF(COUNTIF('08_工具梯度'!$D$6:$D$30,A14)&gt;0,"工具节点","")</x:f>
      </x:c>
    </x:row>
    <x:row r="15">
      <x:c r="A15" s="30" t="n">
        <x:v>10</x:v>
      </x:c>
      <x:c r="B15" s="36" t="str">
        <x:f>IF(A15&lt;=50,"MVP","扩展锚点")</x:f>
        <x:v>MVP</x:v>
      </x:c>
      <x:c r="C15" s="46" t="n">
        <x:f>ROUND('01_核心假设'!$B$35*POWER(A15,'01_核心假设'!$B$36),0)</x:f>
        <x:v>893</x:v>
      </x:c>
      <x:c r="D15" s="46" t="n">
        <x:f>D14+C15</x:f>
        <x:v>3831</x:v>
      </x:c>
      <x:c r="E15" s="46" t="n">
        <x:f>C15/'01_核心假设'!$B$38</x:f>
        <x:v>111.625</x:v>
      </x:c>
      <x:c r="F15" s="59" t="n">
        <x:f>E15*30/'01_核心假设'!$B$8</x:f>
        <x:v>55.8125</x:v>
      </x:c>
      <x:c r="G15" s="62" t="n">
        <x:f>MIN(A15*'01_核心假设'!$B$18,'01_核心假设'!$B$20)</x:f>
        <x:v>0.04</x:v>
      </x:c>
      <x:c r="H15" s="62" t="n">
        <x:f>MIN(A15*'01_核心假设'!$B$19,'01_核心假设'!$B$21)</x:f>
        <x:v>0.06</x:v>
      </x:c>
      <x:c r="I15" s="36" t="str">
        <x:f>IF(COUNTIF('08_工具梯度'!$D$6:$D$30,A15)&gt;0,"工具节点","")</x:f>
        <x:v>工具节点</x:v>
      </x:c>
    </x:row>
    <x:row r="16">
      <x:c r="A16" s="30" t="n">
        <x:v>11</x:v>
      </x:c>
      <x:c r="B16" s="36" t="str">
        <x:f>IF(A16&lt;=50,"MVP","扩展锚点")</x:f>
        <x:v>MVP</x:v>
      </x:c>
      <x:c r="C16" s="46" t="n">
        <x:f>ROUND('01_核心假设'!$B$35*POWER(A16,'01_核心假设'!$B$36),0)</x:f>
        <x:v>1046</x:v>
      </x:c>
      <x:c r="D16" s="46" t="n">
        <x:f>D15+C16</x:f>
        <x:v>4877</x:v>
      </x:c>
      <x:c r="E16" s="46" t="n">
        <x:f>C16/'01_核心假设'!$B$38</x:f>
        <x:v>130.75</x:v>
      </x:c>
      <x:c r="F16" s="59" t="n">
        <x:f>E16*30/'01_核心假设'!$B$8</x:f>
        <x:v>65.375</x:v>
      </x:c>
      <x:c r="G16" s="62" t="n">
        <x:f>MIN(A16*'01_核心假设'!$B$18,'01_核心假设'!$B$20)</x:f>
        <x:v>0.044</x:v>
      </x:c>
      <x:c r="H16" s="62" t="n">
        <x:f>MIN(A16*'01_核心假设'!$B$19,'01_核心假设'!$B$21)</x:f>
        <x:v>0.066</x:v>
      </x:c>
      <x:c r="I16" s="36" t="str">
        <x:f>IF(COUNTIF('08_工具梯度'!$D$6:$D$30,A16)&gt;0,"工具节点","")</x:f>
      </x:c>
    </x:row>
    <x:row r="17">
      <x:c r="A17" s="30" t="n">
        <x:v>12</x:v>
      </x:c>
      <x:c r="B17" s="36" t="str">
        <x:f>IF(A17&lt;=50,"MVP","扩展锚点")</x:f>
        <x:v>MVP</x:v>
      </x:c>
      <x:c r="C17" s="46" t="n">
        <x:f>ROUND('01_核心假设'!$B$35*POWER(A17,'01_核心假设'!$B$36),0)</x:f>
        <x:v>1207</x:v>
      </x:c>
      <x:c r="D17" s="46" t="n">
        <x:f>D16+C17</x:f>
        <x:v>6084</x:v>
      </x:c>
      <x:c r="E17" s="46" t="n">
        <x:f>C17/'01_核心假设'!$B$38</x:f>
        <x:v>150.875</x:v>
      </x:c>
      <x:c r="F17" s="59" t="n">
        <x:f>E17*30/'01_核心假设'!$B$8</x:f>
        <x:v>75.4375</x:v>
      </x:c>
      <x:c r="G17" s="62" t="n">
        <x:f>MIN(A17*'01_核心假设'!$B$18,'01_核心假设'!$B$20)</x:f>
        <x:v>0.048</x:v>
      </x:c>
      <x:c r="H17" s="62" t="n">
        <x:f>MIN(A17*'01_核心假设'!$B$19,'01_核心假设'!$B$21)</x:f>
        <x:v>0.07200000000000001</x:v>
      </x:c>
      <x:c r="I17" s="36" t="str">
        <x:f>IF(COUNTIF('08_工具梯度'!$D$6:$D$30,A17)&gt;0,"工具节点","")</x:f>
      </x:c>
    </x:row>
    <x:row r="18">
      <x:c r="A18" s="30" t="n">
        <x:v>13</x:v>
      </x:c>
      <x:c r="B18" s="36" t="str">
        <x:f>IF(A18&lt;=50,"MVP","扩展锚点")</x:f>
        <x:v>MVP</x:v>
      </x:c>
      <x:c r="C18" s="46" t="n">
        <x:f>ROUND('01_核心假设'!$B$35*POWER(A18,'01_核心假设'!$B$36),0)</x:f>
        <x:v>1377</x:v>
      </x:c>
      <x:c r="D18" s="46" t="n">
        <x:f>D17+C18</x:f>
        <x:v>7461</x:v>
      </x:c>
      <x:c r="E18" s="46" t="n">
        <x:f>C18/'01_核心假设'!$B$38</x:f>
        <x:v>172.125</x:v>
      </x:c>
      <x:c r="F18" s="59" t="n">
        <x:f>E18*30/'01_核心假设'!$B$8</x:f>
        <x:v>86.0625</x:v>
      </x:c>
      <x:c r="G18" s="62" t="n">
        <x:f>MIN(A18*'01_核心假设'!$B$18,'01_核心假设'!$B$20)</x:f>
        <x:v>0.052000000000000005</x:v>
      </x:c>
      <x:c r="H18" s="62" t="n">
        <x:f>MIN(A18*'01_核心假设'!$B$19,'01_核心假设'!$B$21)</x:f>
        <x:v>0.078</x:v>
      </x:c>
      <x:c r="I18" s="36" t="str">
        <x:f>IF(COUNTIF('08_工具梯度'!$D$6:$D$30,A18)&gt;0,"工具节点","")</x:f>
      </x:c>
    </x:row>
    <x:row r="19">
      <x:c r="A19" s="30" t="n">
        <x:v>14</x:v>
      </x:c>
      <x:c r="B19" s="36" t="str">
        <x:f>IF(A19&lt;=50,"MVP","扩展锚点")</x:f>
        <x:v>MVP</x:v>
      </x:c>
      <x:c r="C19" s="46" t="n">
        <x:f>ROUND('01_核心假设'!$B$35*POWER(A19,'01_核心假设'!$B$36),0)</x:f>
        <x:v>1556</x:v>
      </x:c>
      <x:c r="D19" s="46" t="n">
        <x:f>D18+C19</x:f>
        <x:v>9017</x:v>
      </x:c>
      <x:c r="E19" s="46" t="n">
        <x:f>C19/'01_核心假设'!$B$38</x:f>
        <x:v>194.5</x:v>
      </x:c>
      <x:c r="F19" s="59" t="n">
        <x:f>E19*30/'01_核心假设'!$B$8</x:f>
        <x:v>97.25</x:v>
      </x:c>
      <x:c r="G19" s="62" t="n">
        <x:f>MIN(A19*'01_核心假设'!$B$18,'01_核心假设'!$B$20)</x:f>
        <x:v>0.056</x:v>
      </x:c>
      <x:c r="H19" s="62" t="n">
        <x:f>MIN(A19*'01_核心假设'!$B$19,'01_核心假设'!$B$21)</x:f>
        <x:v>0.084</x:v>
      </x:c>
      <x:c r="I19" s="36" t="str">
        <x:f>IF(COUNTIF('08_工具梯度'!$D$6:$D$30,A19)&gt;0,"工具节点","")</x:f>
      </x:c>
    </x:row>
    <x:row r="20">
      <x:c r="A20" s="30" t="n">
        <x:v>15</x:v>
      </x:c>
      <x:c r="B20" s="36" t="str">
        <x:f>IF(A20&lt;=50,"MVP","扩展锚点")</x:f>
        <x:v>MVP</x:v>
      </x:c>
      <x:c r="C20" s="46" t="n">
        <x:f>ROUND('01_核心假设'!$B$35*POWER(A20,'01_核心假设'!$B$36),0)</x:f>
        <x:v>1744</x:v>
      </x:c>
      <x:c r="D20" s="46" t="n">
        <x:f>D19+C20</x:f>
        <x:v>10761</x:v>
      </x:c>
      <x:c r="E20" s="46" t="n">
        <x:f>C20/'01_核心假设'!$B$38</x:f>
        <x:v>218</x:v>
      </x:c>
      <x:c r="F20" s="59" t="n">
        <x:f>E20*30/'01_核心假设'!$B$8</x:f>
        <x:v>109</x:v>
      </x:c>
      <x:c r="G20" s="62" t="n">
        <x:f>MIN(A20*'01_核心假设'!$B$18,'01_核心假设'!$B$20)</x:f>
        <x:v>0.06</x:v>
      </x:c>
      <x:c r="H20" s="62" t="n">
        <x:f>MIN(A20*'01_核心假设'!$B$19,'01_核心假设'!$B$21)</x:f>
        <x:v>0.09</x:v>
      </x:c>
      <x:c r="I20" s="36" t="str">
        <x:f>IF(COUNTIF('08_工具梯度'!$D$6:$D$30,A20)&gt;0,"工具节点","")</x:f>
      </x:c>
    </x:row>
    <x:row r="21">
      <x:c r="A21" s="30" t="n">
        <x:v>16</x:v>
      </x:c>
      <x:c r="B21" s="36" t="str">
        <x:f>IF(A21&lt;=50,"MVP","扩展锚点")</x:f>
        <x:v>MVP</x:v>
      </x:c>
      <x:c r="C21" s="46" t="n">
        <x:f>ROUND('01_核心假设'!$B$35*POWER(A21,'01_核心假设'!$B$36),0)</x:f>
        <x:v>1940</x:v>
      </x:c>
      <x:c r="D21" s="46" t="n">
        <x:f>D20+C21</x:f>
        <x:v>12701</x:v>
      </x:c>
      <x:c r="E21" s="46" t="n">
        <x:f>C21/'01_核心假设'!$B$38</x:f>
        <x:v>242.5</x:v>
      </x:c>
      <x:c r="F21" s="59" t="n">
        <x:f>E21*30/'01_核心假设'!$B$8</x:f>
        <x:v>121.25</x:v>
      </x:c>
      <x:c r="G21" s="62" t="n">
        <x:f>MIN(A21*'01_核心假设'!$B$18,'01_核心假设'!$B$20)</x:f>
        <x:v>0.064</x:v>
      </x:c>
      <x:c r="H21" s="62" t="n">
        <x:f>MIN(A21*'01_核心假设'!$B$19,'01_核心假设'!$B$21)</x:f>
        <x:v>0.096</x:v>
      </x:c>
      <x:c r="I21" s="36" t="str">
        <x:f>IF(COUNTIF('08_工具梯度'!$D$6:$D$30,A21)&gt;0,"工具节点","")</x:f>
      </x:c>
    </x:row>
    <x:row r="22">
      <x:c r="A22" s="30" t="n">
        <x:v>17</x:v>
      </x:c>
      <x:c r="B22" s="36" t="str">
        <x:f>IF(A22&lt;=50,"MVP","扩展锚点")</x:f>
        <x:v>MVP</x:v>
      </x:c>
      <x:c r="C22" s="46" t="n">
        <x:f>ROUND('01_核心假设'!$B$35*POWER(A22,'01_核心假设'!$B$36),0)</x:f>
        <x:v>2144</x:v>
      </x:c>
      <x:c r="D22" s="46" t="n">
        <x:f>D21+C22</x:f>
        <x:v>14845</x:v>
      </x:c>
      <x:c r="E22" s="46" t="n">
        <x:f>C22/'01_核心假设'!$B$38</x:f>
        <x:v>268</x:v>
      </x:c>
      <x:c r="F22" s="59" t="n">
        <x:f>E22*30/'01_核心假设'!$B$8</x:f>
        <x:v>134</x:v>
      </x:c>
      <x:c r="G22" s="62" t="n">
        <x:f>MIN(A22*'01_核心假设'!$B$18,'01_核心假设'!$B$20)</x:f>
        <x:v>0.068</x:v>
      </x:c>
      <x:c r="H22" s="62" t="n">
        <x:f>MIN(A22*'01_核心假设'!$B$19,'01_核心假设'!$B$21)</x:f>
        <x:v>0.10200000000000001</x:v>
      </x:c>
      <x:c r="I22" s="36" t="str">
        <x:f>IF(COUNTIF('08_工具梯度'!$D$6:$D$30,A22)&gt;0,"工具节点","")</x:f>
      </x:c>
    </x:row>
    <x:row r="23">
      <x:c r="A23" s="30" t="n">
        <x:v>18</x:v>
      </x:c>
      <x:c r="B23" s="36" t="str">
        <x:f>IF(A23&lt;=50,"MVP","扩展锚点")</x:f>
        <x:v>MVP</x:v>
      </x:c>
      <x:c r="C23" s="46" t="n">
        <x:f>ROUND('01_核心假设'!$B$35*POWER(A23,'01_核心假设'!$B$36),0)</x:f>
        <x:v>2356</x:v>
      </x:c>
      <x:c r="D23" s="46" t="n">
        <x:f>D22+C23</x:f>
        <x:v>17201</x:v>
      </x:c>
      <x:c r="E23" s="46" t="n">
        <x:f>C23/'01_核心假设'!$B$38</x:f>
        <x:v>294.5</x:v>
      </x:c>
      <x:c r="F23" s="59" t="n">
        <x:f>E23*30/'01_核心假设'!$B$8</x:f>
        <x:v>147.25</x:v>
      </x:c>
      <x:c r="G23" s="62" t="n">
        <x:f>MIN(A23*'01_核心假设'!$B$18,'01_核心假设'!$B$20)</x:f>
        <x:v>0.07200000000000001</x:v>
      </x:c>
      <x:c r="H23" s="62" t="n">
        <x:f>MIN(A23*'01_核心假设'!$B$19,'01_核心假设'!$B$21)</x:f>
        <x:v>0.108</x:v>
      </x:c>
      <x:c r="I23" s="36" t="str">
        <x:f>IF(COUNTIF('08_工具梯度'!$D$6:$D$30,A23)&gt;0,"工具节点","")</x:f>
      </x:c>
    </x:row>
    <x:row r="24">
      <x:c r="A24" s="30" t="n">
        <x:v>19</x:v>
      </x:c>
      <x:c r="B24" s="36" t="str">
        <x:f>IF(A24&lt;=50,"MVP","扩展锚点")</x:f>
        <x:v>MVP</x:v>
      </x:c>
      <x:c r="C24" s="46" t="n">
        <x:f>ROUND('01_核心假设'!$B$35*POWER(A24,'01_核心假设'!$B$36),0)</x:f>
        <x:v>2576</x:v>
      </x:c>
      <x:c r="D24" s="46" t="n">
        <x:f>D23+C24</x:f>
        <x:v>19777</x:v>
      </x:c>
      <x:c r="E24" s="46" t="n">
        <x:f>C24/'01_核心假设'!$B$38</x:f>
        <x:v>322</x:v>
      </x:c>
      <x:c r="F24" s="59" t="n">
        <x:f>E24*30/'01_核心假设'!$B$8</x:f>
        <x:v>161</x:v>
      </x:c>
      <x:c r="G24" s="62" t="n">
        <x:f>MIN(A24*'01_核心假设'!$B$18,'01_核心假设'!$B$20)</x:f>
        <x:v>0.076</x:v>
      </x:c>
      <x:c r="H24" s="62" t="n">
        <x:f>MIN(A24*'01_核心假设'!$B$19,'01_核心假设'!$B$21)</x:f>
        <x:v>0.114</x:v>
      </x:c>
      <x:c r="I24" s="36" t="str">
        <x:f>IF(COUNTIF('08_工具梯度'!$D$6:$D$30,A24)&gt;0,"工具节点","")</x:f>
      </x:c>
    </x:row>
    <x:row r="25">
      <x:c r="A25" s="30" t="n">
        <x:v>20</x:v>
      </x:c>
      <x:c r="B25" s="36" t="str">
        <x:f>IF(A25&lt;=50,"MVP","扩展锚点")</x:f>
        <x:v>MVP</x:v>
      </x:c>
      <x:c r="C25" s="46" t="n">
        <x:f>ROUND('01_核心假设'!$B$35*POWER(A25,'01_核心假设'!$B$36),0)</x:f>
        <x:v>2804</x:v>
      </x:c>
      <x:c r="D25" s="46" t="n">
        <x:f>D24+C25</x:f>
        <x:v>22581</x:v>
      </x:c>
      <x:c r="E25" s="46" t="n">
        <x:f>C25/'01_核心假设'!$B$38</x:f>
        <x:v>350.5</x:v>
      </x:c>
      <x:c r="F25" s="59" t="n">
        <x:f>E25*30/'01_核心假设'!$B$8</x:f>
        <x:v>175.25</x:v>
      </x:c>
      <x:c r="G25" s="62" t="n">
        <x:f>MIN(A25*'01_核心假设'!$B$18,'01_核心假设'!$B$20)</x:f>
        <x:v>0.08</x:v>
      </x:c>
      <x:c r="H25" s="62" t="n">
        <x:f>MIN(A25*'01_核心假设'!$B$19,'01_核心假设'!$B$21)</x:f>
        <x:v>0.12</x:v>
      </x:c>
      <x:c r="I25" s="36" t="str">
        <x:f>IF(COUNTIF('08_工具梯度'!$D$6:$D$30,A25)&gt;0,"工具节点","")</x:f>
        <x:v>工具节点</x:v>
      </x:c>
    </x:row>
    <x:row r="26">
      <x:c r="A26" s="30" t="n">
        <x:v>21</x:v>
      </x:c>
      <x:c r="B26" s="36" t="str">
        <x:f>IF(A26&lt;=50,"MVP","扩展锚点")</x:f>
        <x:v>MVP</x:v>
      </x:c>
      <x:c r="C26" s="46" t="n">
        <x:f>ROUND('01_核心假设'!$B$35*POWER(A26,'01_核心假设'!$B$36),0)</x:f>
        <x:v>3039</x:v>
      </x:c>
      <x:c r="D26" s="46" t="n">
        <x:f>D25+C26</x:f>
        <x:v>25620</x:v>
      </x:c>
      <x:c r="E26" s="46" t="n">
        <x:f>C26/'01_核心假设'!$B$38</x:f>
        <x:v>379.875</x:v>
      </x:c>
      <x:c r="F26" s="59" t="n">
        <x:f>E26*30/'01_核心假设'!$B$8</x:f>
        <x:v>189.9375</x:v>
      </x:c>
      <x:c r="G26" s="62" t="n">
        <x:f>MIN(A26*'01_核心假设'!$B$18,'01_核心假设'!$B$20)</x:f>
        <x:v>0.084</x:v>
      </x:c>
      <x:c r="H26" s="62" t="n">
        <x:f>MIN(A26*'01_核心假设'!$B$19,'01_核心假设'!$B$21)</x:f>
        <x:v>0.126</x:v>
      </x:c>
      <x:c r="I26" s="36" t="str">
        <x:f>IF(COUNTIF('08_工具梯度'!$D$6:$D$30,A26)&gt;0,"工具节点","")</x:f>
      </x:c>
    </x:row>
    <x:row r="27">
      <x:c r="A27" s="30" t="n">
        <x:v>22</x:v>
      </x:c>
      <x:c r="B27" s="36" t="str">
        <x:f>IF(A27&lt;=50,"MVP","扩展锚点")</x:f>
        <x:v>MVP</x:v>
      </x:c>
      <x:c r="C27" s="46" t="n">
        <x:f>ROUND('01_核心假设'!$B$35*POWER(A27,'01_核心假设'!$B$36),0)</x:f>
        <x:v>3281</x:v>
      </x:c>
      <x:c r="D27" s="46" t="n">
        <x:f>D26+C27</x:f>
        <x:v>28901</x:v>
      </x:c>
      <x:c r="E27" s="46" t="n">
        <x:f>C27/'01_核心假设'!$B$38</x:f>
        <x:v>410.125</x:v>
      </x:c>
      <x:c r="F27" s="59" t="n">
        <x:f>E27*30/'01_核心假设'!$B$8</x:f>
        <x:v>205.0625</x:v>
      </x:c>
      <x:c r="G27" s="62" t="n">
        <x:f>MIN(A27*'01_核心假设'!$B$18,'01_核心假设'!$B$20)</x:f>
        <x:v>0.088</x:v>
      </x:c>
      <x:c r="H27" s="62" t="n">
        <x:f>MIN(A27*'01_核心假设'!$B$19,'01_核心假设'!$B$21)</x:f>
        <x:v>0.132</x:v>
      </x:c>
      <x:c r="I27" s="36" t="str">
        <x:f>IF(COUNTIF('08_工具梯度'!$D$6:$D$30,A27)&gt;0,"工具节点","")</x:f>
      </x:c>
    </x:row>
    <x:row r="28">
      <x:c r="A28" s="30" t="n">
        <x:v>23</x:v>
      </x:c>
      <x:c r="B28" s="36" t="str">
        <x:f>IF(A28&lt;=50,"MVP","扩展锚点")</x:f>
        <x:v>MVP</x:v>
      </x:c>
      <x:c r="C28" s="46" t="n">
        <x:f>ROUND('01_核心假设'!$B$35*POWER(A28,'01_核心假设'!$B$36),0)</x:f>
        <x:v>3531</x:v>
      </x:c>
      <x:c r="D28" s="46" t="n">
        <x:f>D27+C28</x:f>
        <x:v>32432</x:v>
      </x:c>
      <x:c r="E28" s="46" t="n">
        <x:f>C28/'01_核心假设'!$B$38</x:f>
        <x:v>441.375</x:v>
      </x:c>
      <x:c r="F28" s="59" t="n">
        <x:f>E28*30/'01_核心假设'!$B$8</x:f>
        <x:v>220.6875</x:v>
      </x:c>
      <x:c r="G28" s="62" t="n">
        <x:f>MIN(A28*'01_核心假设'!$B$18,'01_核心假设'!$B$20)</x:f>
        <x:v>0.092</x:v>
      </x:c>
      <x:c r="H28" s="62" t="n">
        <x:f>MIN(A28*'01_核心假设'!$B$19,'01_核心假设'!$B$21)</x:f>
        <x:v>0.138</x:v>
      </x:c>
      <x:c r="I28" s="36" t="str">
        <x:f>IF(COUNTIF('08_工具梯度'!$D$6:$D$30,A28)&gt;0,"工具节点","")</x:f>
      </x:c>
    </x:row>
    <x:row r="29">
      <x:c r="A29" s="30" t="n">
        <x:v>24</x:v>
      </x:c>
      <x:c r="B29" s="36" t="str">
        <x:f>IF(A29&lt;=50,"MVP","扩展锚点")</x:f>
        <x:v>MVP</x:v>
      </x:c>
      <x:c r="C29" s="46" t="n">
        <x:f>ROUND('01_核心假设'!$B$35*POWER(A29,'01_核心假设'!$B$36),0)</x:f>
        <x:v>3788</x:v>
      </x:c>
      <x:c r="D29" s="46" t="n">
        <x:f>D28+C29</x:f>
        <x:v>36220</x:v>
      </x:c>
      <x:c r="E29" s="46" t="n">
        <x:f>C29/'01_核心假设'!$B$38</x:f>
        <x:v>473.5</x:v>
      </x:c>
      <x:c r="F29" s="59" t="n">
        <x:f>E29*30/'01_核心假设'!$B$8</x:f>
        <x:v>236.75</x:v>
      </x:c>
      <x:c r="G29" s="62" t="n">
        <x:f>MIN(A29*'01_核心假设'!$B$18,'01_核心假设'!$B$20)</x:f>
        <x:v>0.096</x:v>
      </x:c>
      <x:c r="H29" s="62" t="n">
        <x:f>MIN(A29*'01_核心假设'!$B$19,'01_核心假设'!$B$21)</x:f>
        <x:v>0.14400000000000002</x:v>
      </x:c>
      <x:c r="I29" s="36" t="str">
        <x:f>IF(COUNTIF('08_工具梯度'!$D$6:$D$30,A29)&gt;0,"工具节点","")</x:f>
      </x:c>
    </x:row>
    <x:row r="30">
      <x:c r="A30" s="30" t="n">
        <x:v>25</x:v>
      </x:c>
      <x:c r="B30" s="36" t="str">
        <x:f>IF(A30&lt;=50,"MVP","扩展锚点")</x:f>
        <x:v>MVP</x:v>
      </x:c>
      <x:c r="C30" s="46" t="n">
        <x:f>ROUND('01_核心假设'!$B$35*POWER(A30,'01_核心假设'!$B$36),0)</x:f>
        <x:v>4052</x:v>
      </x:c>
      <x:c r="D30" s="46" t="n">
        <x:f>D29+C30</x:f>
        <x:v>40272</x:v>
      </x:c>
      <x:c r="E30" s="46" t="n">
        <x:f>C30/'01_核心假设'!$B$38</x:f>
        <x:v>506.5</x:v>
      </x:c>
      <x:c r="F30" s="59" t="n">
        <x:f>E30*30/'01_核心假设'!$B$8</x:f>
        <x:v>253.25</x:v>
      </x:c>
      <x:c r="G30" s="62" t="n">
        <x:f>MIN(A30*'01_核心假设'!$B$18,'01_核心假设'!$B$20)</x:f>
        <x:v>0.1</x:v>
      </x:c>
      <x:c r="H30" s="62" t="n">
        <x:f>MIN(A30*'01_核心假设'!$B$19,'01_核心假设'!$B$21)</x:f>
        <x:v>0.15</x:v>
      </x:c>
      <x:c r="I30" s="36" t="str">
        <x:f>IF(COUNTIF('08_工具梯度'!$D$6:$D$30,A30)&gt;0,"工具节点","")</x:f>
        <x:v>工具节点</x:v>
      </x:c>
    </x:row>
    <x:row r="31">
      <x:c r="A31" s="30" t="n">
        <x:v>26</x:v>
      </x:c>
      <x:c r="B31" s="36" t="str">
        <x:f>IF(A31&lt;=50,"MVP","扩展锚点")</x:f>
        <x:v>MVP</x:v>
      </x:c>
      <x:c r="C31" s="46" t="n">
        <x:f>ROUND('01_核心假设'!$B$35*POWER(A31,'01_核心假设'!$B$36),0)</x:f>
        <x:v>4323</x:v>
      </x:c>
      <x:c r="D31" s="46" t="n">
        <x:f>D30+C31</x:f>
        <x:v>44595</x:v>
      </x:c>
      <x:c r="E31" s="46" t="n">
        <x:f>C31/'01_核心假设'!$B$38</x:f>
        <x:v>540.375</x:v>
      </x:c>
      <x:c r="F31" s="59" t="n">
        <x:f>E31*30/'01_核心假设'!$B$8</x:f>
        <x:v>270.1875</x:v>
      </x:c>
      <x:c r="G31" s="62" t="n">
        <x:f>MIN(A31*'01_核心假设'!$B$18,'01_核心假设'!$B$20)</x:f>
        <x:v>0.10400000000000001</x:v>
      </x:c>
      <x:c r="H31" s="62" t="n">
        <x:f>MIN(A31*'01_核心假设'!$B$19,'01_核心假设'!$B$21)</x:f>
        <x:v>0.156</x:v>
      </x:c>
      <x:c r="I31" s="36" t="str">
        <x:f>IF(COUNTIF('08_工具梯度'!$D$6:$D$30,A31)&gt;0,"工具节点","")</x:f>
      </x:c>
    </x:row>
    <x:row r="32">
      <x:c r="A32" s="30" t="n">
        <x:v>27</x:v>
      </x:c>
      <x:c r="B32" s="36" t="str">
        <x:f>IF(A32&lt;=50,"MVP","扩展锚点")</x:f>
        <x:v>MVP</x:v>
      </x:c>
      <x:c r="C32" s="46" t="n">
        <x:f>ROUND('01_核心假设'!$B$35*POWER(A32,'01_核心假设'!$B$36),0)</x:f>
        <x:v>4600</x:v>
      </x:c>
      <x:c r="D32" s="46" t="n">
        <x:f>D31+C32</x:f>
        <x:v>49195</x:v>
      </x:c>
      <x:c r="E32" s="46" t="n">
        <x:f>C32/'01_核心假设'!$B$38</x:f>
        <x:v>575</x:v>
      </x:c>
      <x:c r="F32" s="59" t="n">
        <x:f>E32*30/'01_核心假设'!$B$8</x:f>
        <x:v>287.5</x:v>
      </x:c>
      <x:c r="G32" s="62" t="n">
        <x:f>MIN(A32*'01_核心假设'!$B$18,'01_核心假设'!$B$20)</x:f>
        <x:v>0.108</x:v>
      </x:c>
      <x:c r="H32" s="62" t="n">
        <x:f>MIN(A32*'01_核心假设'!$B$19,'01_核心假设'!$B$21)</x:f>
        <x:v>0.162</x:v>
      </x:c>
      <x:c r="I32" s="36" t="str">
        <x:f>IF(COUNTIF('08_工具梯度'!$D$6:$D$30,A32)&gt;0,"工具节点","")</x:f>
      </x:c>
    </x:row>
    <x:row r="33">
      <x:c r="A33" s="30" t="n">
        <x:v>28</x:v>
      </x:c>
      <x:c r="B33" s="36" t="str">
        <x:f>IF(A33&lt;=50,"MVP","扩展锚点")</x:f>
        <x:v>MVP</x:v>
      </x:c>
      <x:c r="C33" s="46" t="n">
        <x:f>ROUND('01_核心假设'!$B$35*POWER(A33,'01_核心假设'!$B$36),0)</x:f>
        <x:v>4885</x:v>
      </x:c>
      <x:c r="D33" s="46" t="n">
        <x:f>D32+C33</x:f>
        <x:v>54080</x:v>
      </x:c>
      <x:c r="E33" s="46" t="n">
        <x:f>C33/'01_核心假设'!$B$38</x:f>
        <x:v>610.625</x:v>
      </x:c>
      <x:c r="F33" s="59" t="n">
        <x:f>E33*30/'01_核心假设'!$B$8</x:f>
        <x:v>305.3125</x:v>
      </x:c>
      <x:c r="G33" s="62" t="n">
        <x:f>MIN(A33*'01_核心假设'!$B$18,'01_核心假设'!$B$20)</x:f>
        <x:v>0.112</x:v>
      </x:c>
      <x:c r="H33" s="62" t="n">
        <x:f>MIN(A33*'01_核心假设'!$B$19,'01_核心假设'!$B$21)</x:f>
        <x:v>0.168</x:v>
      </x:c>
      <x:c r="I33" s="36" t="str">
        <x:f>IF(COUNTIF('08_工具梯度'!$D$6:$D$30,A33)&gt;0,"工具节点","")</x:f>
      </x:c>
    </x:row>
    <x:row r="34">
      <x:c r="A34" s="30" t="n">
        <x:v>29</x:v>
      </x:c>
      <x:c r="B34" s="36" t="str">
        <x:f>IF(A34&lt;=50,"MVP","扩展锚点")</x:f>
        <x:v>MVP</x:v>
      </x:c>
      <x:c r="C34" s="46" t="n">
        <x:f>ROUND('01_核心假设'!$B$35*POWER(A34,'01_核心假设'!$B$36),0)</x:f>
        <x:v>5176</x:v>
      </x:c>
      <x:c r="D34" s="46" t="n">
        <x:f>D33+C34</x:f>
        <x:v>59256</x:v>
      </x:c>
      <x:c r="E34" s="46" t="n">
        <x:f>C34/'01_核心假设'!$B$38</x:f>
        <x:v>647</x:v>
      </x:c>
      <x:c r="F34" s="59" t="n">
        <x:f>E34*30/'01_核心假设'!$B$8</x:f>
        <x:v>323.5</x:v>
      </x:c>
      <x:c r="G34" s="62" t="n">
        <x:f>MIN(A34*'01_核心假设'!$B$18,'01_核心假设'!$B$20)</x:f>
        <x:v>0.116</x:v>
      </x:c>
      <x:c r="H34" s="62" t="n">
        <x:f>MIN(A34*'01_核心假设'!$B$19,'01_核心假设'!$B$21)</x:f>
        <x:v>0.17400000000000002</x:v>
      </x:c>
      <x:c r="I34" s="36" t="str">
        <x:f>IF(COUNTIF('08_工具梯度'!$D$6:$D$30,A34)&gt;0,"工具节点","")</x:f>
      </x:c>
    </x:row>
    <x:row r="35">
      <x:c r="A35" s="30" t="n">
        <x:v>30</x:v>
      </x:c>
      <x:c r="B35" s="36" t="str">
        <x:f>IF(A35&lt;=50,"MVP","扩展锚点")</x:f>
        <x:v>MVP</x:v>
      </x:c>
      <x:c r="C35" s="46" t="n">
        <x:f>ROUND('01_核心假设'!$B$35*POWER(A35,'01_核心假设'!$B$36),0)</x:f>
        <x:v>5474</x:v>
      </x:c>
      <x:c r="D35" s="46" t="n">
        <x:f>D34+C35</x:f>
        <x:v>64730</x:v>
      </x:c>
      <x:c r="E35" s="46" t="n">
        <x:f>C35/'01_核心假设'!$B$38</x:f>
        <x:v>684.25</x:v>
      </x:c>
      <x:c r="F35" s="59" t="n">
        <x:f>E35*30/'01_核心假设'!$B$8</x:f>
        <x:v>342.125</x:v>
      </x:c>
      <x:c r="G35" s="62" t="n">
        <x:f>MIN(A35*'01_核心假设'!$B$18,'01_核心假设'!$B$20)</x:f>
        <x:v>0.12</x:v>
      </x:c>
      <x:c r="H35" s="62" t="n">
        <x:f>MIN(A35*'01_核心假设'!$B$19,'01_核心假设'!$B$21)</x:f>
        <x:v>0.18</x:v>
      </x:c>
      <x:c r="I35" s="36" t="str">
        <x:f>IF(COUNTIF('08_工具梯度'!$D$6:$D$30,A35)&gt;0,"工具节点","")</x:f>
      </x:c>
    </x:row>
    <x:row r="36">
      <x:c r="A36" s="30" t="n">
        <x:v>31</x:v>
      </x:c>
      <x:c r="B36" s="36" t="str">
        <x:f>IF(A36&lt;=50,"MVP","扩展锚点")</x:f>
        <x:v>MVP</x:v>
      </x:c>
      <x:c r="C36" s="46" t="n">
        <x:f>ROUND('01_核心假设'!$B$35*POWER(A36,'01_核心假设'!$B$36),0)</x:f>
        <x:v>5778</x:v>
      </x:c>
      <x:c r="D36" s="46" t="n">
        <x:f>D35+C36</x:f>
        <x:v>70508</x:v>
      </x:c>
      <x:c r="E36" s="46" t="n">
        <x:f>C36/'01_核心假设'!$B$38</x:f>
        <x:v>722.25</x:v>
      </x:c>
      <x:c r="F36" s="59" t="n">
        <x:f>E36*30/'01_核心假设'!$B$8</x:f>
        <x:v>361.125</x:v>
      </x:c>
      <x:c r="G36" s="62" t="n">
        <x:f>MIN(A36*'01_核心假设'!$B$18,'01_核心假设'!$B$20)</x:f>
        <x:v>0.124</x:v>
      </x:c>
      <x:c r="H36" s="62" t="n">
        <x:f>MIN(A36*'01_核心假设'!$B$19,'01_核心假设'!$B$21)</x:f>
        <x:v>0.186</x:v>
      </x:c>
      <x:c r="I36" s="36" t="str">
        <x:f>IF(COUNTIF('08_工具梯度'!$D$6:$D$30,A36)&gt;0,"工具节点","")</x:f>
      </x:c>
    </x:row>
    <x:row r="37">
      <x:c r="A37" s="30" t="n">
        <x:v>32</x:v>
      </x:c>
      <x:c r="B37" s="36" t="str">
        <x:f>IF(A37&lt;=50,"MVP","扩展锚点")</x:f>
        <x:v>MVP</x:v>
      </x:c>
      <x:c r="C37" s="46" t="n">
        <x:f>ROUND('01_核心假设'!$B$35*POWER(A37,'01_核心假设'!$B$36),0)</x:f>
        <x:v>6089</x:v>
      </x:c>
      <x:c r="D37" s="46" t="n">
        <x:f>D36+C37</x:f>
        <x:v>76597</x:v>
      </x:c>
      <x:c r="E37" s="46" t="n">
        <x:f>C37/'01_核心假设'!$B$38</x:f>
        <x:v>761.125</x:v>
      </x:c>
      <x:c r="F37" s="59" t="n">
        <x:f>E37*30/'01_核心假设'!$B$8</x:f>
        <x:v>380.5625</x:v>
      </x:c>
      <x:c r="G37" s="62" t="n">
        <x:f>MIN(A37*'01_核心假设'!$B$18,'01_核心假设'!$B$20)</x:f>
        <x:v>0.128</x:v>
      </x:c>
      <x:c r="H37" s="62" t="n">
        <x:f>MIN(A37*'01_核心假设'!$B$19,'01_核心假设'!$B$21)</x:f>
        <x:v>0.192</x:v>
      </x:c>
      <x:c r="I37" s="36" t="str">
        <x:f>IF(COUNTIF('08_工具梯度'!$D$6:$D$30,A37)&gt;0,"工具节点","")</x:f>
      </x:c>
    </x:row>
    <x:row r="38">
      <x:c r="A38" s="30" t="n">
        <x:v>33</x:v>
      </x:c>
      <x:c r="B38" s="36" t="str">
        <x:f>IF(A38&lt;=50,"MVP","扩展锚点")</x:f>
        <x:v>MVP</x:v>
      </x:c>
      <x:c r="C38" s="46" t="n">
        <x:f>ROUND('01_核心假设'!$B$35*POWER(A38,'01_核心假设'!$B$36),0)</x:f>
        <x:v>6406</x:v>
      </x:c>
      <x:c r="D38" s="46" t="n">
        <x:f>D37+C38</x:f>
        <x:v>83003</x:v>
      </x:c>
      <x:c r="E38" s="46" t="n">
        <x:f>C38/'01_核心假设'!$B$38</x:f>
        <x:v>800.75</x:v>
      </x:c>
      <x:c r="F38" s="59" t="n">
        <x:f>E38*30/'01_核心假设'!$B$8</x:f>
        <x:v>400.375</x:v>
      </x:c>
      <x:c r="G38" s="62" t="n">
        <x:f>MIN(A38*'01_核心假设'!$B$18,'01_核心假设'!$B$20)</x:f>
        <x:v>0.132</x:v>
      </x:c>
      <x:c r="H38" s="62" t="n">
        <x:f>MIN(A38*'01_核心假设'!$B$19,'01_核心假设'!$B$21)</x:f>
        <x:v>0.198</x:v>
      </x:c>
      <x:c r="I38" s="36" t="str">
        <x:f>IF(COUNTIF('08_工具梯度'!$D$6:$D$30,A38)&gt;0,"工具节点","")</x:f>
      </x:c>
    </x:row>
    <x:row r="39">
      <x:c r="A39" s="30" t="n">
        <x:v>34</x:v>
      </x:c>
      <x:c r="B39" s="36" t="str">
        <x:f>IF(A39&lt;=50,"MVP","扩展锚点")</x:f>
        <x:v>MVP</x:v>
      </x:c>
      <x:c r="C39" s="46" t="n">
        <x:f>ROUND('01_核心假设'!$B$35*POWER(A39,'01_核心假设'!$B$36),0)</x:f>
        <x:v>6729</x:v>
      </x:c>
      <x:c r="D39" s="46" t="n">
        <x:f>D38+C39</x:f>
        <x:v>89732</x:v>
      </x:c>
      <x:c r="E39" s="46" t="n">
        <x:f>C39/'01_核心假设'!$B$38</x:f>
        <x:v>841.125</x:v>
      </x:c>
      <x:c r="F39" s="59" t="n">
        <x:f>E39*30/'01_核心假设'!$B$8</x:f>
        <x:v>420.5625</x:v>
      </x:c>
      <x:c r="G39" s="62" t="n">
        <x:f>MIN(A39*'01_核心假设'!$B$18,'01_核心假设'!$B$20)</x:f>
        <x:v>0.136</x:v>
      </x:c>
      <x:c r="H39" s="62" t="n">
        <x:f>MIN(A39*'01_核心假设'!$B$19,'01_核心假设'!$B$21)</x:f>
        <x:v>0.20400000000000001</x:v>
      </x:c>
      <x:c r="I39" s="36" t="str">
        <x:f>IF(COUNTIF('08_工具梯度'!$D$6:$D$30,A39)&gt;0,"工具节点","")</x:f>
      </x:c>
    </x:row>
    <x:row r="40">
      <x:c r="A40" s="30" t="n">
        <x:v>35</x:v>
      </x:c>
      <x:c r="B40" s="36" t="str">
        <x:f>IF(A40&lt;=50,"MVP","扩展锚点")</x:f>
        <x:v>MVP</x:v>
      </x:c>
      <x:c r="C40" s="46" t="n">
        <x:f>ROUND('01_核心假设'!$B$35*POWER(A40,'01_核心假设'!$B$36),0)</x:f>
        <x:v>7059</x:v>
      </x:c>
      <x:c r="D40" s="46" t="n">
        <x:f>D39+C40</x:f>
        <x:v>96791</x:v>
      </x:c>
      <x:c r="E40" s="46" t="n">
        <x:f>C40/'01_核心假设'!$B$38</x:f>
        <x:v>882.375</x:v>
      </x:c>
      <x:c r="F40" s="59" t="n">
        <x:f>E40*30/'01_核心假设'!$B$8</x:f>
        <x:v>441.1875</x:v>
      </x:c>
      <x:c r="G40" s="62" t="n">
        <x:f>MIN(A40*'01_核心假设'!$B$18,'01_核心假设'!$B$20)</x:f>
        <x:v>0.14</x:v>
      </x:c>
      <x:c r="H40" s="62" t="n">
        <x:f>MIN(A40*'01_核心假设'!$B$19,'01_核心假设'!$B$21)</x:f>
        <x:v>0.21</x:v>
      </x:c>
      <x:c r="I40" s="36" t="str">
        <x:f>IF(COUNTIF('08_工具梯度'!$D$6:$D$30,A40)&gt;0,"工具节点","")</x:f>
        <x:v>工具节点</x:v>
      </x:c>
    </x:row>
    <x:row r="41">
      <x:c r="A41" s="30" t="n">
        <x:v>36</x:v>
      </x:c>
      <x:c r="B41" s="36" t="str">
        <x:f>IF(A41&lt;=50,"MVP","扩展锚点")</x:f>
        <x:v>MVP</x:v>
      </x:c>
      <x:c r="C41" s="46" t="n">
        <x:f>ROUND('01_核心假设'!$B$35*POWER(A41,'01_核心假设'!$B$36),0)</x:f>
        <x:v>7395</x:v>
      </x:c>
      <x:c r="D41" s="46" t="n">
        <x:f>D40+C41</x:f>
        <x:v>104186</x:v>
      </x:c>
      <x:c r="E41" s="46" t="n">
        <x:f>C41/'01_核心假设'!$B$38</x:f>
        <x:v>924.375</x:v>
      </x:c>
      <x:c r="F41" s="59" t="n">
        <x:f>E41*30/'01_核心假设'!$B$8</x:f>
        <x:v>462.1875</x:v>
      </x:c>
      <x:c r="G41" s="62" t="n">
        <x:f>MIN(A41*'01_核心假设'!$B$18,'01_核心假设'!$B$20)</x:f>
        <x:v>0.14400000000000002</x:v>
      </x:c>
      <x:c r="H41" s="62" t="n">
        <x:f>MIN(A41*'01_核心假设'!$B$19,'01_核心假设'!$B$21)</x:f>
        <x:v>0.216</x:v>
      </x:c>
      <x:c r="I41" s="36" t="str">
        <x:f>IF(COUNTIF('08_工具梯度'!$D$6:$D$30,A41)&gt;0,"工具节点","")</x:f>
      </x:c>
    </x:row>
    <x:row r="42">
      <x:c r="A42" s="30" t="n">
        <x:v>37</x:v>
      </x:c>
      <x:c r="B42" s="36" t="str">
        <x:f>IF(A42&lt;=50,"MVP","扩展锚点")</x:f>
        <x:v>MVP</x:v>
      </x:c>
      <x:c r="C42" s="46" t="n">
        <x:f>ROUND('01_核心假设'!$B$35*POWER(A42,'01_核心假设'!$B$36),0)</x:f>
        <x:v>7737</x:v>
      </x:c>
      <x:c r="D42" s="46" t="n">
        <x:f>D41+C42</x:f>
        <x:v>111923</x:v>
      </x:c>
      <x:c r="E42" s="46" t="n">
        <x:f>C42/'01_核心假设'!$B$38</x:f>
        <x:v>967.125</x:v>
      </x:c>
      <x:c r="F42" s="59" t="n">
        <x:f>E42*30/'01_核心假设'!$B$8</x:f>
        <x:v>483.5625</x:v>
      </x:c>
      <x:c r="G42" s="62" t="n">
        <x:f>MIN(A42*'01_核心假设'!$B$18,'01_核心假设'!$B$20)</x:f>
        <x:v>0.148</x:v>
      </x:c>
      <x:c r="H42" s="62" t="n">
        <x:f>MIN(A42*'01_核心假设'!$B$19,'01_核心假设'!$B$21)</x:f>
        <x:v>0.222</x:v>
      </x:c>
      <x:c r="I42" s="36" t="str">
        <x:f>IF(COUNTIF('08_工具梯度'!$D$6:$D$30,A42)&gt;0,"工具节点","")</x:f>
      </x:c>
    </x:row>
    <x:row r="43">
      <x:c r="A43" s="30" t="n">
        <x:v>38</x:v>
      </x:c>
      <x:c r="B43" s="36" t="str">
        <x:f>IF(A43&lt;=50,"MVP","扩展锚点")</x:f>
        <x:v>MVP</x:v>
      </x:c>
      <x:c r="C43" s="46" t="n">
        <x:f>ROUND('01_核心假设'!$B$35*POWER(A43,'01_核心假设'!$B$36),0)</x:f>
        <x:v>8085</x:v>
      </x:c>
      <x:c r="D43" s="46" t="n">
        <x:f>D42+C43</x:f>
        <x:v>120008</x:v>
      </x:c>
      <x:c r="E43" s="46" t="n">
        <x:f>C43/'01_核心假设'!$B$38</x:f>
        <x:v>1010.625</x:v>
      </x:c>
      <x:c r="F43" s="59" t="n">
        <x:f>E43*30/'01_核心假设'!$B$8</x:f>
        <x:v>505.3125</x:v>
      </x:c>
      <x:c r="G43" s="62" t="n">
        <x:f>MIN(A43*'01_核心假设'!$B$18,'01_核心假设'!$B$20)</x:f>
        <x:v>0.152</x:v>
      </x:c>
      <x:c r="H43" s="62" t="n">
        <x:f>MIN(A43*'01_核心假设'!$B$19,'01_核心假设'!$B$21)</x:f>
        <x:v>0.228</x:v>
      </x:c>
      <x:c r="I43" s="36" t="str">
        <x:f>IF(COUNTIF('08_工具梯度'!$D$6:$D$30,A43)&gt;0,"工具节点","")</x:f>
      </x:c>
    </x:row>
    <x:row r="44">
      <x:c r="A44" s="30" t="n">
        <x:v>39</x:v>
      </x:c>
      <x:c r="B44" s="36" t="str">
        <x:f>IF(A44&lt;=50,"MVP","扩展锚点")</x:f>
        <x:v>MVP</x:v>
      </x:c>
      <x:c r="C44" s="46" t="n">
        <x:f>ROUND('01_核心假设'!$B$35*POWER(A44,'01_核心假设'!$B$36),0)</x:f>
        <x:v>8439</x:v>
      </x:c>
      <x:c r="D44" s="46" t="n">
        <x:f>D43+C44</x:f>
        <x:v>128447</x:v>
      </x:c>
      <x:c r="E44" s="46" t="n">
        <x:f>C44/'01_核心假设'!$B$38</x:f>
        <x:v>1054.875</x:v>
      </x:c>
      <x:c r="F44" s="59" t="n">
        <x:f>E44*30/'01_核心假设'!$B$8</x:f>
        <x:v>527.4375</x:v>
      </x:c>
      <x:c r="G44" s="62" t="n">
        <x:f>MIN(A44*'01_核心假设'!$B$18,'01_核心假设'!$B$20)</x:f>
        <x:v>0.156</x:v>
      </x:c>
      <x:c r="H44" s="62" t="n">
        <x:f>MIN(A44*'01_核心假设'!$B$19,'01_核心假设'!$B$21)</x:f>
        <x:v>0.234</x:v>
      </x:c>
      <x:c r="I44" s="36" t="str">
        <x:f>IF(COUNTIF('08_工具梯度'!$D$6:$D$30,A44)&gt;0,"工具节点","")</x:f>
      </x:c>
    </x:row>
    <x:row r="45">
      <x:c r="A45" s="30" t="n">
        <x:v>40</x:v>
      </x:c>
      <x:c r="B45" s="36" t="str">
        <x:f>IF(A45&lt;=50,"MVP","扩展锚点")</x:f>
        <x:v>MVP</x:v>
      </x:c>
      <x:c r="C45" s="46" t="n">
        <x:f>ROUND('01_核心假设'!$B$35*POWER(A45,'01_核心假设'!$B$36),0)</x:f>
        <x:v>8799</x:v>
      </x:c>
      <x:c r="D45" s="46" t="n">
        <x:f>D44+C45</x:f>
        <x:v>137246</x:v>
      </x:c>
      <x:c r="E45" s="46" t="n">
        <x:f>C45/'01_核心假设'!$B$38</x:f>
        <x:v>1099.875</x:v>
      </x:c>
      <x:c r="F45" s="59" t="n">
        <x:f>E45*30/'01_核心假设'!$B$8</x:f>
        <x:v>549.9375</x:v>
      </x:c>
      <x:c r="G45" s="62" t="n">
        <x:f>MIN(A45*'01_核心假设'!$B$18,'01_核心假设'!$B$20)</x:f>
        <x:v>0.16</x:v>
      </x:c>
      <x:c r="H45" s="62" t="n">
        <x:f>MIN(A45*'01_核心假设'!$B$19,'01_核心假设'!$B$21)</x:f>
        <x:v>0.24</x:v>
      </x:c>
      <x:c r="I45" s="36" t="str">
        <x:f>IF(COUNTIF('08_工具梯度'!$D$6:$D$30,A45)&gt;0,"工具节点","")</x:f>
      </x:c>
    </x:row>
    <x:row r="46">
      <x:c r="A46" s="30" t="n">
        <x:v>41</x:v>
      </x:c>
      <x:c r="B46" s="36" t="str">
        <x:f>IF(A46&lt;=50,"MVP","扩展锚点")</x:f>
        <x:v>MVP</x:v>
      </x:c>
      <x:c r="C46" s="46" t="n">
        <x:f>ROUND('01_核心假设'!$B$35*POWER(A46,'01_核心假设'!$B$36),0)</x:f>
        <x:v>9165</x:v>
      </x:c>
      <x:c r="D46" s="46" t="n">
        <x:f>D45+C46</x:f>
        <x:v>146411</x:v>
      </x:c>
      <x:c r="E46" s="46" t="n">
        <x:f>C46/'01_核心假设'!$B$38</x:f>
        <x:v>1145.625</x:v>
      </x:c>
      <x:c r="F46" s="59" t="n">
        <x:f>E46*30/'01_核心假设'!$B$8</x:f>
        <x:v>572.8125</x:v>
      </x:c>
      <x:c r="G46" s="62" t="n">
        <x:f>MIN(A46*'01_核心假设'!$B$18,'01_核心假设'!$B$20)</x:f>
        <x:v>0.164</x:v>
      </x:c>
      <x:c r="H46" s="62" t="n">
        <x:f>MIN(A46*'01_核心假设'!$B$19,'01_核心假设'!$B$21)</x:f>
        <x:v>0.246</x:v>
      </x:c>
      <x:c r="I46" s="36" t="str">
        <x:f>IF(COUNTIF('08_工具梯度'!$D$6:$D$30,A46)&gt;0,"工具节点","")</x:f>
      </x:c>
    </x:row>
    <x:row r="47">
      <x:c r="A47" s="30" t="n">
        <x:v>42</x:v>
      </x:c>
      <x:c r="B47" s="36" t="str">
        <x:f>IF(A47&lt;=50,"MVP","扩展锚点")</x:f>
        <x:v>MVP</x:v>
      </x:c>
      <x:c r="C47" s="46" t="n">
        <x:f>ROUND('01_核心假设'!$B$35*POWER(A47,'01_核心假设'!$B$36),0)</x:f>
        <x:v>9537</x:v>
      </x:c>
      <x:c r="D47" s="46" t="n">
        <x:f>D46+C47</x:f>
        <x:v>155948</x:v>
      </x:c>
      <x:c r="E47" s="46" t="n">
        <x:f>C47/'01_核心假设'!$B$38</x:f>
        <x:v>1192.125</x:v>
      </x:c>
      <x:c r="F47" s="59" t="n">
        <x:f>E47*30/'01_核心假设'!$B$8</x:f>
        <x:v>596.0625</x:v>
      </x:c>
      <x:c r="G47" s="62" t="n">
        <x:f>MIN(A47*'01_核心假设'!$B$18,'01_核心假设'!$B$20)</x:f>
        <x:v>0.168</x:v>
      </x:c>
      <x:c r="H47" s="62" t="n">
        <x:f>MIN(A47*'01_核心假设'!$B$19,'01_核心假设'!$B$21)</x:f>
        <x:v>0.252</x:v>
      </x:c>
      <x:c r="I47" s="36" t="str">
        <x:f>IF(COUNTIF('08_工具梯度'!$D$6:$D$30,A47)&gt;0,"工具节点","")</x:f>
      </x:c>
    </x:row>
    <x:row r="48">
      <x:c r="A48" s="30" t="n">
        <x:v>43</x:v>
      </x:c>
      <x:c r="B48" s="36" t="str">
        <x:f>IF(A48&lt;=50,"MVP","扩展锚点")</x:f>
        <x:v>MVP</x:v>
      </x:c>
      <x:c r="C48" s="46" t="n">
        <x:f>ROUND('01_核心假设'!$B$35*POWER(A48,'01_核心假设'!$B$36),0)</x:f>
        <x:v>9914</x:v>
      </x:c>
      <x:c r="D48" s="46" t="n">
        <x:f>D47+C48</x:f>
        <x:v>165862</x:v>
      </x:c>
      <x:c r="E48" s="46" t="n">
        <x:f>C48/'01_核心假设'!$B$38</x:f>
        <x:v>1239.25</x:v>
      </x:c>
      <x:c r="F48" s="59" t="n">
        <x:f>E48*30/'01_核心假设'!$B$8</x:f>
        <x:v>619.625</x:v>
      </x:c>
      <x:c r="G48" s="62" t="n">
        <x:f>MIN(A48*'01_核心假设'!$B$18,'01_核心假设'!$B$20)</x:f>
        <x:v>0.17200000000000001</x:v>
      </x:c>
      <x:c r="H48" s="62" t="n">
        <x:f>MIN(A48*'01_核心假设'!$B$19,'01_核心假设'!$B$21)</x:f>
        <x:v>0.258</x:v>
      </x:c>
      <x:c r="I48" s="36" t="str">
        <x:f>IF(COUNTIF('08_工具梯度'!$D$6:$D$30,A48)&gt;0,"工具节点","")</x:f>
      </x:c>
    </x:row>
    <x:row r="49">
      <x:c r="A49" s="30" t="n">
        <x:v>44</x:v>
      </x:c>
      <x:c r="B49" s="36" t="str">
        <x:f>IF(A49&lt;=50,"MVP","扩展锚点")</x:f>
        <x:v>MVP</x:v>
      </x:c>
      <x:c r="C49" s="46" t="n">
        <x:f>ROUND('01_核心假设'!$B$35*POWER(A49,'01_核心假设'!$B$36),0)</x:f>
        <x:v>10297</x:v>
      </x:c>
      <x:c r="D49" s="46" t="n">
        <x:f>D48+C49</x:f>
        <x:v>176159</x:v>
      </x:c>
      <x:c r="E49" s="46" t="n">
        <x:f>C49/'01_核心假设'!$B$38</x:f>
        <x:v>1287.125</x:v>
      </x:c>
      <x:c r="F49" s="59" t="n">
        <x:f>E49*30/'01_核心假设'!$B$8</x:f>
        <x:v>643.5625</x:v>
      </x:c>
      <x:c r="G49" s="62" t="n">
        <x:f>MIN(A49*'01_核心假设'!$B$18,'01_核心假设'!$B$20)</x:f>
        <x:v>0.176</x:v>
      </x:c>
      <x:c r="H49" s="62" t="n">
        <x:f>MIN(A49*'01_核心假设'!$B$19,'01_核心假设'!$B$21)</x:f>
        <x:v>0.264</x:v>
      </x:c>
      <x:c r="I49" s="36" t="str">
        <x:f>IF(COUNTIF('08_工具梯度'!$D$6:$D$30,A49)&gt;0,"工具节点","")</x:f>
      </x:c>
    </x:row>
    <x:row r="50">
      <x:c r="A50" s="30" t="n">
        <x:v>45</x:v>
      </x:c>
      <x:c r="B50" s="36" t="str">
        <x:f>IF(A50&lt;=50,"MVP","扩展锚点")</x:f>
        <x:v>MVP</x:v>
      </x:c>
      <x:c r="C50" s="46" t="n">
        <x:f>ROUND('01_核心假设'!$B$35*POWER(A50,'01_核心假设'!$B$36),0)</x:f>
        <x:v>10686</x:v>
      </x:c>
      <x:c r="D50" s="46" t="n">
        <x:f>D49+C50</x:f>
        <x:v>186845</x:v>
      </x:c>
      <x:c r="E50" s="46" t="n">
        <x:f>C50/'01_核心假设'!$B$38</x:f>
        <x:v>1335.75</x:v>
      </x:c>
      <x:c r="F50" s="59" t="n">
        <x:f>E50*30/'01_核心假设'!$B$8</x:f>
        <x:v>667.875</x:v>
      </x:c>
      <x:c r="G50" s="62" t="n">
        <x:f>MIN(A50*'01_核心假设'!$B$18,'01_核心假设'!$B$20)</x:f>
        <x:v>0.18</x:v>
      </x:c>
      <x:c r="H50" s="62" t="n">
        <x:f>MIN(A50*'01_核心假设'!$B$19,'01_核心假设'!$B$21)</x:f>
        <x:v>0.27</x:v>
      </x:c>
      <x:c r="I50" s="36" t="str">
        <x:f>IF(COUNTIF('08_工具梯度'!$D$6:$D$30,A50)&gt;0,"工具节点","")</x:f>
      </x:c>
    </x:row>
    <x:row r="51">
      <x:c r="A51" s="30" t="n">
        <x:v>46</x:v>
      </x:c>
      <x:c r="B51" s="36" t="str">
        <x:f>IF(A51&lt;=50,"MVP","扩展锚点")</x:f>
        <x:v>MVP</x:v>
      </x:c>
      <x:c r="C51" s="46" t="n">
        <x:f>ROUND('01_核心假设'!$B$35*POWER(A51,'01_核心假设'!$B$36),0)</x:f>
        <x:v>11081</x:v>
      </x:c>
      <x:c r="D51" s="46" t="n">
        <x:f>D50+C51</x:f>
        <x:v>197926</x:v>
      </x:c>
      <x:c r="E51" s="46" t="n">
        <x:f>C51/'01_核心假设'!$B$38</x:f>
        <x:v>1385.125</x:v>
      </x:c>
      <x:c r="F51" s="59" t="n">
        <x:f>E51*30/'01_核心假设'!$B$8</x:f>
        <x:v>692.5625</x:v>
      </x:c>
      <x:c r="G51" s="62" t="n">
        <x:f>MIN(A51*'01_核心假设'!$B$18,'01_核心假设'!$B$20)</x:f>
        <x:v>0.184</x:v>
      </x:c>
      <x:c r="H51" s="62" t="n">
        <x:f>MIN(A51*'01_核心假设'!$B$19,'01_核心假设'!$B$21)</x:f>
        <x:v>0.276</x:v>
      </x:c>
      <x:c r="I51" s="36" t="str">
        <x:f>IF(COUNTIF('08_工具梯度'!$D$6:$D$30,A51)&gt;0,"工具节点","")</x:f>
      </x:c>
    </x:row>
    <x:row r="52">
      <x:c r="A52" s="30" t="n">
        <x:v>47</x:v>
      </x:c>
      <x:c r="B52" s="36" t="str">
        <x:f>IF(A52&lt;=50,"MVP","扩展锚点")</x:f>
        <x:v>MVP</x:v>
      </x:c>
      <x:c r="C52" s="46" t="n">
        <x:f>ROUND('01_核心假设'!$B$35*POWER(A52,'01_核心假设'!$B$36),0)</x:f>
        <x:v>11481</x:v>
      </x:c>
      <x:c r="D52" s="46" t="n">
        <x:f>D51+C52</x:f>
        <x:v>209407</x:v>
      </x:c>
      <x:c r="E52" s="46" t="n">
        <x:f>C52/'01_核心假设'!$B$38</x:f>
        <x:v>1435.125</x:v>
      </x:c>
      <x:c r="F52" s="59" t="n">
        <x:f>E52*30/'01_核心假设'!$B$8</x:f>
        <x:v>717.5625</x:v>
      </x:c>
      <x:c r="G52" s="62" t="n">
        <x:f>MIN(A52*'01_核心假设'!$B$18,'01_核心假设'!$B$20)</x:f>
        <x:v>0.188</x:v>
      </x:c>
      <x:c r="H52" s="62" t="n">
        <x:f>MIN(A52*'01_核心假设'!$B$19,'01_核心假设'!$B$21)</x:f>
        <x:v>0.28200000000000003</x:v>
      </x:c>
      <x:c r="I52" s="36" t="str">
        <x:f>IF(COUNTIF('08_工具梯度'!$D$6:$D$30,A52)&gt;0,"工具节点","")</x:f>
      </x:c>
    </x:row>
    <x:row r="53">
      <x:c r="A53" s="30" t="n">
        <x:v>48</x:v>
      </x:c>
      <x:c r="B53" s="36" t="str">
        <x:f>IF(A53&lt;=50,"MVP","扩展锚点")</x:f>
        <x:v>MVP</x:v>
      </x:c>
      <x:c r="C53" s="46" t="n">
        <x:f>ROUND('01_核心假设'!$B$35*POWER(A53,'01_核心假设'!$B$36),0)</x:f>
        <x:v>11887</x:v>
      </x:c>
      <x:c r="D53" s="46" t="n">
        <x:f>D52+C53</x:f>
        <x:v>221294</x:v>
      </x:c>
      <x:c r="E53" s="46" t="n">
        <x:f>C53/'01_核心假设'!$B$38</x:f>
        <x:v>1485.875</x:v>
      </x:c>
      <x:c r="F53" s="59" t="n">
        <x:f>E53*30/'01_核心假设'!$B$8</x:f>
        <x:v>742.9375</x:v>
      </x:c>
      <x:c r="G53" s="62" t="n">
        <x:f>MIN(A53*'01_核心假设'!$B$18,'01_核心假设'!$B$20)</x:f>
        <x:v>0.192</x:v>
      </x:c>
      <x:c r="H53" s="62" t="n">
        <x:f>MIN(A53*'01_核心假设'!$B$19,'01_核心假设'!$B$21)</x:f>
        <x:v>0.28800000000000003</x:v>
      </x:c>
      <x:c r="I53" s="36" t="str">
        <x:f>IF(COUNTIF('08_工具梯度'!$D$6:$D$30,A53)&gt;0,"工具节点","")</x:f>
      </x:c>
    </x:row>
    <x:row r="54">
      <x:c r="A54" s="30" t="n">
        <x:v>49</x:v>
      </x:c>
      <x:c r="B54" s="36" t="str">
        <x:f>IF(A54&lt;=50,"MVP","扩展锚点")</x:f>
        <x:v>MVP</x:v>
      </x:c>
      <x:c r="C54" s="46" t="n">
        <x:f>ROUND('01_核心假设'!$B$35*POWER(A54,'01_核心假设'!$B$36),0)</x:f>
        <x:v>12299</x:v>
      </x:c>
      <x:c r="D54" s="46" t="n">
        <x:f>D53+C54</x:f>
        <x:v>233593</x:v>
      </x:c>
      <x:c r="E54" s="46" t="n">
        <x:f>C54/'01_核心假设'!$B$38</x:f>
        <x:v>1537.375</x:v>
      </x:c>
      <x:c r="F54" s="59" t="n">
        <x:f>E54*30/'01_核心假设'!$B$8</x:f>
        <x:v>768.6875</x:v>
      </x:c>
      <x:c r="G54" s="62" t="n">
        <x:f>MIN(A54*'01_核心假设'!$B$18,'01_核心假设'!$B$20)</x:f>
        <x:v>0.196</x:v>
      </x:c>
      <x:c r="H54" s="62" t="n">
        <x:f>MIN(A54*'01_核心假设'!$B$19,'01_核心假设'!$B$21)</x:f>
        <x:v>0.294</x:v>
      </x:c>
      <x:c r="I54" s="36" t="str">
        <x:f>IF(COUNTIF('08_工具梯度'!$D$6:$D$30,A54)&gt;0,"工具节点","")</x:f>
      </x:c>
    </x:row>
    <x:row r="55">
      <x:c r="A55" s="30" t="n">
        <x:v>50</x:v>
      </x:c>
      <x:c r="B55" s="36" t="str">
        <x:f>IF(A55&lt;=50,"MVP","扩展锚点")</x:f>
        <x:v>MVP</x:v>
      </x:c>
      <x:c r="C55" s="46" t="n">
        <x:f>ROUND('01_核心假设'!$B$35*POWER(A55,'01_核心假设'!$B$36),0)</x:f>
        <x:v>12715</x:v>
      </x:c>
      <x:c r="D55" s="46" t="n">
        <x:f>D54+C55</x:f>
        <x:v>246308</x:v>
      </x:c>
      <x:c r="E55" s="46" t="n">
        <x:f>C55/'01_核心假设'!$B$38</x:f>
        <x:v>1589.375</x:v>
      </x:c>
      <x:c r="F55" s="59" t="n">
        <x:f>E55*30/'01_核心假设'!$B$8</x:f>
        <x:v>794.6875</x:v>
      </x:c>
      <x:c r="G55" s="62" t="n">
        <x:f>MIN(A55*'01_核心假设'!$B$18,'01_核心假设'!$B$20)</x:f>
        <x:v>0.2</x:v>
      </x:c>
      <x:c r="H55" s="62" t="n">
        <x:f>MIN(A55*'01_核心假设'!$B$19,'01_核心假设'!$B$21)</x:f>
        <x:v>0.3</x:v>
      </x:c>
      <x:c r="I55" s="36" t="str">
        <x:f>IF(COUNTIF('08_工具梯度'!$D$6:$D$30,A55)&gt;0,"工具节点","")</x:f>
        <x:v>工具节点</x:v>
      </x:c>
    </x:row>
    <x:row r="56">
      <x:c r="A56" s="30" t="n">
        <x:v>51</x:v>
      </x:c>
      <x:c r="B56" s="36" t="str">
        <x:f>IF(A56&lt;=50,"MVP","扩展锚点")</x:f>
        <x:v>扩展锚点</x:v>
      </x:c>
      <x:c r="C56" s="46" t="n">
        <x:f>ROUND('01_核心假设'!$B$35*POWER(A56,'01_核心假设'!$B$36),0)</x:f>
        <x:v>13138</x:v>
      </x:c>
      <x:c r="D56" s="46" t="n">
        <x:f>D55+C56</x:f>
        <x:v>259446</x:v>
      </x:c>
      <x:c r="E56" s="46" t="n">
        <x:f>C56/'01_核心假设'!$B$38</x:f>
        <x:v>1642.25</x:v>
      </x:c>
      <x:c r="F56" s="59" t="n">
        <x:f>E56*30/'01_核心假设'!$B$8</x:f>
        <x:v>821.125</x:v>
      </x:c>
      <x:c r="G56" s="62" t="n">
        <x:f>MIN(A56*'01_核心假设'!$B$18,'01_核心假设'!$B$20)</x:f>
        <x:v>0.20400000000000001</x:v>
      </x:c>
      <x:c r="H56" s="62" t="n">
        <x:f>MIN(A56*'01_核心假设'!$B$19,'01_核心假设'!$B$21)</x:f>
        <x:v>0.306</x:v>
      </x:c>
      <x:c r="I56" s="36" t="str">
        <x:f>IF(COUNTIF('08_工具梯度'!$D$6:$D$30,A56)&gt;0,"工具节点","")</x:f>
      </x:c>
    </x:row>
    <x:row r="57">
      <x:c r="A57" s="30" t="n">
        <x:v>52</x:v>
      </x:c>
      <x:c r="B57" s="36" t="str">
        <x:f>IF(A57&lt;=50,"MVP","扩展锚点")</x:f>
        <x:v>扩展锚点</x:v>
      </x:c>
      <x:c r="C57" s="46" t="n">
        <x:f>ROUND('01_核心假设'!$B$35*POWER(A57,'01_核心假设'!$B$36),0)</x:f>
        <x:v>13565</x:v>
      </x:c>
      <x:c r="D57" s="46" t="n">
        <x:f>D56+C57</x:f>
        <x:v>273011</x:v>
      </x:c>
      <x:c r="E57" s="46" t="n">
        <x:f>C57/'01_核心假设'!$B$38</x:f>
        <x:v>1695.625</x:v>
      </x:c>
      <x:c r="F57" s="59" t="n">
        <x:f>E57*30/'01_核心假设'!$B$8</x:f>
        <x:v>847.8125</x:v>
      </x:c>
      <x:c r="G57" s="62" t="n">
        <x:f>MIN(A57*'01_核心假设'!$B$18,'01_核心假设'!$B$20)</x:f>
        <x:v>0.20800000000000002</x:v>
      </x:c>
      <x:c r="H57" s="62" t="n">
        <x:f>MIN(A57*'01_核心假设'!$B$19,'01_核心假设'!$B$21)</x:f>
        <x:v>0.312</x:v>
      </x:c>
      <x:c r="I57" s="36" t="str">
        <x:f>IF(COUNTIF('08_工具梯度'!$D$6:$D$30,A57)&gt;0,"工具节点","")</x:f>
      </x:c>
    </x:row>
    <x:row r="58">
      <x:c r="A58" s="30" t="n">
        <x:v>53</x:v>
      </x:c>
      <x:c r="B58" s="36" t="str">
        <x:f>IF(A58&lt;=50,"MVP","扩展锚点")</x:f>
        <x:v>扩展锚点</x:v>
      </x:c>
      <x:c r="C58" s="46" t="n">
        <x:f>ROUND('01_核心假设'!$B$35*POWER(A58,'01_核心假设'!$B$36),0)</x:f>
        <x:v>13999</x:v>
      </x:c>
      <x:c r="D58" s="46" t="n">
        <x:f>D57+C58</x:f>
        <x:v>287010</x:v>
      </x:c>
      <x:c r="E58" s="46" t="n">
        <x:f>C58/'01_核心假设'!$B$38</x:f>
        <x:v>1749.875</x:v>
      </x:c>
      <x:c r="F58" s="59" t="n">
        <x:f>E58*30/'01_核心假设'!$B$8</x:f>
        <x:v>874.9375</x:v>
      </x:c>
      <x:c r="G58" s="62" t="n">
        <x:f>MIN(A58*'01_核心假设'!$B$18,'01_核心假设'!$B$20)</x:f>
        <x:v>0.212</x:v>
      </x:c>
      <x:c r="H58" s="62" t="n">
        <x:f>MIN(A58*'01_核心假设'!$B$19,'01_核心假设'!$B$21)</x:f>
        <x:v>0.318</x:v>
      </x:c>
      <x:c r="I58" s="36" t="str">
        <x:f>IF(COUNTIF('08_工具梯度'!$D$6:$D$30,A58)&gt;0,"工具节点","")</x:f>
      </x:c>
    </x:row>
    <x:row r="59">
      <x:c r="A59" s="30" t="n">
        <x:v>54</x:v>
      </x:c>
      <x:c r="B59" s="36" t="str">
        <x:f>IF(A59&lt;=50,"MVP","扩展锚点")</x:f>
        <x:v>扩展锚点</x:v>
      </x:c>
      <x:c r="C59" s="46" t="n">
        <x:f>ROUND('01_核心假设'!$B$35*POWER(A59,'01_核心假设'!$B$36),0)</x:f>
        <x:v>14437</x:v>
      </x:c>
      <x:c r="D59" s="46" t="n">
        <x:f>D58+C59</x:f>
        <x:v>301447</x:v>
      </x:c>
      <x:c r="E59" s="46" t="n">
        <x:f>C59/'01_核心假设'!$B$38</x:f>
        <x:v>1804.625</x:v>
      </x:c>
      <x:c r="F59" s="59" t="n">
        <x:f>E59*30/'01_核心假设'!$B$8</x:f>
        <x:v>902.3125</x:v>
      </x:c>
      <x:c r="G59" s="62" t="n">
        <x:f>MIN(A59*'01_核心假设'!$B$18,'01_核心假设'!$B$20)</x:f>
        <x:v>0.216</x:v>
      </x:c>
      <x:c r="H59" s="62" t="n">
        <x:f>MIN(A59*'01_核心假设'!$B$19,'01_核心假设'!$B$21)</x:f>
        <x:v>0.324</x:v>
      </x:c>
      <x:c r="I59" s="36" t="str">
        <x:f>IF(COUNTIF('08_工具梯度'!$D$6:$D$30,A59)&gt;0,"工具节点","")</x:f>
      </x:c>
    </x:row>
    <x:row r="60">
      <x:c r="A60" s="30" t="n">
        <x:v>55</x:v>
      </x:c>
      <x:c r="B60" s="36" t="str">
        <x:f>IF(A60&lt;=50,"MVP","扩展锚点")</x:f>
        <x:v>扩展锚点</x:v>
      </x:c>
      <x:c r="C60" s="46" t="n">
        <x:f>ROUND('01_核心假设'!$B$35*POWER(A60,'01_核心假设'!$B$36),0)</x:f>
        <x:v>14881</x:v>
      </x:c>
      <x:c r="D60" s="46" t="n">
        <x:f>D59+C60</x:f>
        <x:v>316328</x:v>
      </x:c>
      <x:c r="E60" s="46" t="n">
        <x:f>C60/'01_核心假设'!$B$38</x:f>
        <x:v>1860.125</x:v>
      </x:c>
      <x:c r="F60" s="59" t="n">
        <x:f>E60*30/'01_核心假设'!$B$8</x:f>
        <x:v>930.0625</x:v>
      </x:c>
      <x:c r="G60" s="62" t="n">
        <x:f>MIN(A60*'01_核心假设'!$B$18,'01_核心假设'!$B$20)</x:f>
        <x:v>0.22</x:v>
      </x:c>
      <x:c r="H60" s="62" t="n">
        <x:f>MIN(A60*'01_核心假设'!$B$19,'01_核心假设'!$B$21)</x:f>
        <x:v>0.33</x:v>
      </x:c>
      <x:c r="I60" s="36" t="str">
        <x:f>IF(COUNTIF('08_工具梯度'!$D$6:$D$30,A60)&gt;0,"工具节点","")</x:f>
      </x:c>
    </x:row>
    <x:row r="61">
      <x:c r="A61" s="30" t="n">
        <x:v>56</x:v>
      </x:c>
      <x:c r="B61" s="36" t="str">
        <x:f>IF(A61&lt;=50,"MVP","扩展锚点")</x:f>
        <x:v>扩展锚点</x:v>
      </x:c>
      <x:c r="C61" s="46" t="n">
        <x:f>ROUND('01_核心假设'!$B$35*POWER(A61,'01_核心假设'!$B$36),0)</x:f>
        <x:v>15330</x:v>
      </x:c>
      <x:c r="D61" s="46" t="n">
        <x:f>D60+C61</x:f>
        <x:v>331658</x:v>
      </x:c>
      <x:c r="E61" s="46" t="n">
        <x:f>C61/'01_核心假设'!$B$38</x:f>
        <x:v>1916.25</x:v>
      </x:c>
      <x:c r="F61" s="59" t="n">
        <x:f>E61*30/'01_核心假设'!$B$8</x:f>
        <x:v>958.125</x:v>
      </x:c>
      <x:c r="G61" s="62" t="n">
        <x:f>MIN(A61*'01_核心假设'!$B$18,'01_核心假设'!$B$20)</x:f>
        <x:v>0.224</x:v>
      </x:c>
      <x:c r="H61" s="62" t="n">
        <x:f>MIN(A61*'01_核心假设'!$B$19,'01_核心假设'!$B$21)</x:f>
        <x:v>0.336</x:v>
      </x:c>
      <x:c r="I61" s="36" t="str">
        <x:f>IF(COUNTIF('08_工具梯度'!$D$6:$D$30,A61)&gt;0,"工具节点","")</x:f>
      </x:c>
    </x:row>
    <x:row r="62">
      <x:c r="A62" s="30" t="n">
        <x:v>57</x:v>
      </x:c>
      <x:c r="B62" s="36" t="str">
        <x:f>IF(A62&lt;=50,"MVP","扩展锚点")</x:f>
        <x:v>扩展锚点</x:v>
      </x:c>
      <x:c r="C62" s="46" t="n">
        <x:f>ROUND('01_核心假设'!$B$35*POWER(A62,'01_核心假设'!$B$36),0)</x:f>
        <x:v>15784</x:v>
      </x:c>
      <x:c r="D62" s="46" t="n">
        <x:f>D61+C62</x:f>
        <x:v>347442</x:v>
      </x:c>
      <x:c r="E62" s="46" t="n">
        <x:f>C62/'01_核心假设'!$B$38</x:f>
        <x:v>1973</x:v>
      </x:c>
      <x:c r="F62" s="59" t="n">
        <x:f>E62*30/'01_核心假设'!$B$8</x:f>
        <x:v>986.5</x:v>
      </x:c>
      <x:c r="G62" s="62" t="n">
        <x:f>MIN(A62*'01_核心假设'!$B$18,'01_核心假设'!$B$20)</x:f>
        <x:v>0.228</x:v>
      </x:c>
      <x:c r="H62" s="62" t="n">
        <x:f>MIN(A62*'01_核心假设'!$B$19,'01_核心假设'!$B$21)</x:f>
        <x:v>0.342</x:v>
      </x:c>
      <x:c r="I62" s="36" t="str">
        <x:f>IF(COUNTIF('08_工具梯度'!$D$6:$D$30,A62)&gt;0,"工具节点","")</x:f>
      </x:c>
    </x:row>
    <x:row r="63">
      <x:c r="A63" s="30" t="n">
        <x:v>58</x:v>
      </x:c>
      <x:c r="B63" s="36" t="str">
        <x:f>IF(A63&lt;=50,"MVP","扩展锚点")</x:f>
        <x:v>扩展锚点</x:v>
      </x:c>
      <x:c r="C63" s="46" t="n">
        <x:f>ROUND('01_核心假设'!$B$35*POWER(A63,'01_核心假设'!$B$36),0)</x:f>
        <x:v>16244</x:v>
      </x:c>
      <x:c r="D63" s="46" t="n">
        <x:f>D62+C63</x:f>
        <x:v>363686</x:v>
      </x:c>
      <x:c r="E63" s="46" t="n">
        <x:f>C63/'01_核心假设'!$B$38</x:f>
        <x:v>2030.5</x:v>
      </x:c>
      <x:c r="F63" s="59" t="n">
        <x:f>E63*30/'01_核心假设'!$B$8</x:f>
        <x:v>1015.25</x:v>
      </x:c>
      <x:c r="G63" s="62" t="n">
        <x:f>MIN(A63*'01_核心假设'!$B$18,'01_核心假设'!$B$20)</x:f>
        <x:v>0.232</x:v>
      </x:c>
      <x:c r="H63" s="62" t="n">
        <x:f>MIN(A63*'01_核心假设'!$B$19,'01_核心假设'!$B$21)</x:f>
        <x:v>0.34800000000000003</x:v>
      </x:c>
      <x:c r="I63" s="36" t="str">
        <x:f>IF(COUNTIF('08_工具梯度'!$D$6:$D$30,A63)&gt;0,"工具节点","")</x:f>
      </x:c>
    </x:row>
    <x:row r="64">
      <x:c r="A64" s="30" t="n">
        <x:v>59</x:v>
      </x:c>
      <x:c r="B64" s="36" t="str">
        <x:f>IF(A64&lt;=50,"MVP","扩展锚点")</x:f>
        <x:v>扩展锚点</x:v>
      </x:c>
      <x:c r="C64" s="46" t="n">
        <x:f>ROUND('01_核心假设'!$B$35*POWER(A64,'01_核心假设'!$B$36),0)</x:f>
        <x:v>16708</x:v>
      </x:c>
      <x:c r="D64" s="46" t="n">
        <x:f>D63+C64</x:f>
        <x:v>380394</x:v>
      </x:c>
      <x:c r="E64" s="46" t="n">
        <x:f>C64/'01_核心假设'!$B$38</x:f>
        <x:v>2088.5</x:v>
      </x:c>
      <x:c r="F64" s="59" t="n">
        <x:f>E64*30/'01_核心假设'!$B$8</x:f>
        <x:v>1044.25</x:v>
      </x:c>
      <x:c r="G64" s="62" t="n">
        <x:f>MIN(A64*'01_核心假设'!$B$18,'01_核心假设'!$B$20)</x:f>
        <x:v>0.23600000000000002</x:v>
      </x:c>
      <x:c r="H64" s="62" t="n">
        <x:f>MIN(A64*'01_核心假设'!$B$19,'01_核心假设'!$B$21)</x:f>
        <x:v>0.354</x:v>
      </x:c>
      <x:c r="I64" s="36" t="str">
        <x:f>IF(COUNTIF('08_工具梯度'!$D$6:$D$30,A64)&gt;0,"工具节点","")</x:f>
      </x:c>
    </x:row>
    <x:row r="65">
      <x:c r="A65" s="30" t="n">
        <x:v>60</x:v>
      </x:c>
      <x:c r="B65" s="36" t="str">
        <x:f>IF(A65&lt;=50,"MVP","扩展锚点")</x:f>
        <x:v>扩展锚点</x:v>
      </x:c>
      <x:c r="C65" s="46" t="n">
        <x:f>ROUND('01_核心假设'!$B$35*POWER(A65,'01_核心假设'!$B$36),0)</x:f>
        <x:v>17178</x:v>
      </x:c>
      <x:c r="D65" s="46" t="n">
        <x:f>D64+C65</x:f>
        <x:v>397572</x:v>
      </x:c>
      <x:c r="E65" s="46" t="n">
        <x:f>C65/'01_核心假设'!$B$38</x:f>
        <x:v>2147.25</x:v>
      </x:c>
      <x:c r="F65" s="59" t="n">
        <x:f>E65*30/'01_核心假设'!$B$8</x:f>
        <x:v>1073.625</x:v>
      </x:c>
      <x:c r="G65" s="62" t="n">
        <x:f>MIN(A65*'01_核心假设'!$B$18,'01_核心假设'!$B$20)</x:f>
        <x:v>0.24</x:v>
      </x:c>
      <x:c r="H65" s="62" t="n">
        <x:f>MIN(A65*'01_核心假设'!$B$19,'01_核心假设'!$B$21)</x:f>
        <x:v>0.36</x:v>
      </x:c>
      <x:c r="I65" s="36" t="str">
        <x:f>IF(COUNTIF('08_工具梯度'!$D$6:$D$30,A65)&gt;0,"工具节点","")</x:f>
      </x:c>
    </x:row>
    <x:row r="66">
      <x:c r="A66" s="30" t="n">
        <x:v>61</x:v>
      </x:c>
      <x:c r="B66" s="36" t="str">
        <x:f>IF(A66&lt;=50,"MVP","扩展锚点")</x:f>
        <x:v>扩展锚点</x:v>
      </x:c>
      <x:c r="C66" s="46" t="n">
        <x:f>ROUND('01_核心假设'!$B$35*POWER(A66,'01_核心假设'!$B$36),0)</x:f>
        <x:v>17653</x:v>
      </x:c>
      <x:c r="D66" s="46" t="n">
        <x:f>D65+C66</x:f>
        <x:v>415225</x:v>
      </x:c>
      <x:c r="E66" s="46" t="n">
        <x:f>C66/'01_核心假设'!$B$38</x:f>
        <x:v>2206.625</x:v>
      </x:c>
      <x:c r="F66" s="59" t="n">
        <x:f>E66*30/'01_核心假设'!$B$8</x:f>
        <x:v>1103.3125</x:v>
      </x:c>
      <x:c r="G66" s="62" t="n">
        <x:f>MIN(A66*'01_核心假设'!$B$18,'01_核心假设'!$B$20)</x:f>
        <x:v>0.244</x:v>
      </x:c>
      <x:c r="H66" s="62" t="n">
        <x:f>MIN(A66*'01_核心假设'!$B$19,'01_核心假设'!$B$21)</x:f>
        <x:v>0.366</x:v>
      </x:c>
      <x:c r="I66" s="36" t="str">
        <x:f>IF(COUNTIF('08_工具梯度'!$D$6:$D$30,A66)&gt;0,"工具节点","")</x:f>
      </x:c>
    </x:row>
    <x:row r="67">
      <x:c r="A67" s="30" t="n">
        <x:v>62</x:v>
      </x:c>
      <x:c r="B67" s="36" t="str">
        <x:f>IF(A67&lt;=50,"MVP","扩展锚点")</x:f>
        <x:v>扩展锚点</x:v>
      </x:c>
      <x:c r="C67" s="46" t="n">
        <x:f>ROUND('01_核心假设'!$B$35*POWER(A67,'01_核心假设'!$B$36),0)</x:f>
        <x:v>18133</x:v>
      </x:c>
      <x:c r="D67" s="46" t="n">
        <x:f>D66+C67</x:f>
        <x:v>433358</x:v>
      </x:c>
      <x:c r="E67" s="46" t="n">
        <x:f>C67/'01_核心假设'!$B$38</x:f>
        <x:v>2266.625</x:v>
      </x:c>
      <x:c r="F67" s="59" t="n">
        <x:f>E67*30/'01_核心假设'!$B$8</x:f>
        <x:v>1133.3125</x:v>
      </x:c>
      <x:c r="G67" s="62" t="n">
        <x:f>MIN(A67*'01_核心假设'!$B$18,'01_核心假设'!$B$20)</x:f>
        <x:v>0.248</x:v>
      </x:c>
      <x:c r="H67" s="62" t="n">
        <x:f>MIN(A67*'01_核心假设'!$B$19,'01_核心假设'!$B$21)</x:f>
        <x:v>0.372</x:v>
      </x:c>
      <x:c r="I67" s="36" t="str">
        <x:f>IF(COUNTIF('08_工具梯度'!$D$6:$D$30,A67)&gt;0,"工具节点","")</x:f>
      </x:c>
    </x:row>
    <x:row r="68">
      <x:c r="A68" s="30" t="n">
        <x:v>63</x:v>
      </x:c>
      <x:c r="B68" s="36" t="str">
        <x:f>IF(A68&lt;=50,"MVP","扩展锚点")</x:f>
        <x:v>扩展锚点</x:v>
      </x:c>
      <x:c r="C68" s="46" t="n">
        <x:f>ROUND('01_核心假设'!$B$35*POWER(A68,'01_核心假设'!$B$36),0)</x:f>
        <x:v>18618</x:v>
      </x:c>
      <x:c r="D68" s="46" t="n">
        <x:f>D67+C68</x:f>
        <x:v>451976</x:v>
      </x:c>
      <x:c r="E68" s="46" t="n">
        <x:f>C68/'01_核心假设'!$B$38</x:f>
        <x:v>2327.25</x:v>
      </x:c>
      <x:c r="F68" s="59" t="n">
        <x:f>E68*30/'01_核心假设'!$B$8</x:f>
        <x:v>1163.625</x:v>
      </x:c>
      <x:c r="G68" s="62" t="n">
        <x:f>MIN(A68*'01_核心假设'!$B$18,'01_核心假设'!$B$20)</x:f>
        <x:v>0.252</x:v>
      </x:c>
      <x:c r="H68" s="62" t="n">
        <x:f>MIN(A68*'01_核心假设'!$B$19,'01_核心假设'!$B$21)</x:f>
        <x:v>0.378</x:v>
      </x:c>
      <x:c r="I68" s="36" t="str">
        <x:f>IF(COUNTIF('08_工具梯度'!$D$6:$D$30,A68)&gt;0,"工具节点","")</x:f>
      </x:c>
    </x:row>
    <x:row r="69">
      <x:c r="A69" s="30" t="n">
        <x:v>64</x:v>
      </x:c>
      <x:c r="B69" s="36" t="str">
        <x:f>IF(A69&lt;=50,"MVP","扩展锚点")</x:f>
        <x:v>扩展锚点</x:v>
      </x:c>
      <x:c r="C69" s="46" t="n">
        <x:f>ROUND('01_核心假设'!$B$35*POWER(A69,'01_核心假设'!$B$36),0)</x:f>
        <x:v>19109</x:v>
      </x:c>
      <x:c r="D69" s="46" t="n">
        <x:f>D68+C69</x:f>
        <x:v>471085</x:v>
      </x:c>
      <x:c r="E69" s="46" t="n">
        <x:f>C69/'01_核心假设'!$B$38</x:f>
        <x:v>2388.625</x:v>
      </x:c>
      <x:c r="F69" s="59" t="n">
        <x:f>E69*30/'01_核心假设'!$B$8</x:f>
        <x:v>1194.3125</x:v>
      </x:c>
      <x:c r="G69" s="62" t="n">
        <x:f>MIN(A69*'01_核心假设'!$B$18,'01_核心假设'!$B$20)</x:f>
        <x:v>0.256</x:v>
      </x:c>
      <x:c r="H69" s="62" t="n">
        <x:f>MIN(A69*'01_核心假设'!$B$19,'01_核心假设'!$B$21)</x:f>
        <x:v>0.384</x:v>
      </x:c>
      <x:c r="I69" s="36" t="str">
        <x:f>IF(COUNTIF('08_工具梯度'!$D$6:$D$30,A69)&gt;0,"工具节点","")</x:f>
      </x:c>
    </x:row>
    <x:row r="70">
      <x:c r="A70" s="30" t="n">
        <x:v>65</x:v>
      </x:c>
      <x:c r="B70" s="36" t="str">
        <x:f>IF(A70&lt;=50,"MVP","扩展锚点")</x:f>
        <x:v>扩展锚点</x:v>
      </x:c>
      <x:c r="C70" s="46" t="n">
        <x:f>ROUND('01_核心假设'!$B$35*POWER(A70,'01_核心假设'!$B$36),0)</x:f>
        <x:v>19604</x:v>
      </x:c>
      <x:c r="D70" s="46" t="n">
        <x:f>D69+C70</x:f>
        <x:v>490689</x:v>
      </x:c>
      <x:c r="E70" s="46" t="n">
        <x:f>C70/'01_核心假设'!$B$38</x:f>
        <x:v>2450.5</x:v>
      </x:c>
      <x:c r="F70" s="59" t="n">
        <x:f>E70*30/'01_核心假设'!$B$8</x:f>
        <x:v>1225.25</x:v>
      </x:c>
      <x:c r="G70" s="62" t="n">
        <x:f>MIN(A70*'01_核心假设'!$B$18,'01_核心假设'!$B$20)</x:f>
        <x:v>0.26</x:v>
      </x:c>
      <x:c r="H70" s="62" t="n">
        <x:f>MIN(A70*'01_核心假设'!$B$19,'01_核心假设'!$B$21)</x:f>
        <x:v>0.39</x:v>
      </x:c>
      <x:c r="I70" s="36" t="str">
        <x:f>IF(COUNTIF('08_工具梯度'!$D$6:$D$30,A70)&gt;0,"工具节点","")</x:f>
      </x:c>
    </x:row>
    <x:row r="71">
      <x:c r="A71" s="30" t="n">
        <x:v>66</x:v>
      </x:c>
      <x:c r="B71" s="36" t="str">
        <x:f>IF(A71&lt;=50,"MVP","扩展锚点")</x:f>
        <x:v>扩展锚点</x:v>
      </x:c>
      <x:c r="C71" s="46" t="n">
        <x:f>ROUND('01_核心假设'!$B$35*POWER(A71,'01_核心假设'!$B$36),0)</x:f>
        <x:v>20104</x:v>
      </x:c>
      <x:c r="D71" s="46" t="n">
        <x:f>D70+C71</x:f>
        <x:v>510793</x:v>
      </x:c>
      <x:c r="E71" s="46" t="n">
        <x:f>C71/'01_核心假设'!$B$38</x:f>
        <x:v>2513</x:v>
      </x:c>
      <x:c r="F71" s="59" t="n">
        <x:f>E71*30/'01_核心假设'!$B$8</x:f>
        <x:v>1256.5</x:v>
      </x:c>
      <x:c r="G71" s="62" t="n">
        <x:f>MIN(A71*'01_核心假设'!$B$18,'01_核心假设'!$B$20)</x:f>
        <x:v>0.264</x:v>
      </x:c>
      <x:c r="H71" s="62" t="n">
        <x:f>MIN(A71*'01_核心假设'!$B$19,'01_核心假设'!$B$21)</x:f>
        <x:v>0.396</x:v>
      </x:c>
      <x:c r="I71" s="36" t="str">
        <x:f>IF(COUNTIF('08_工具梯度'!$D$6:$D$30,A71)&gt;0,"工具节点","")</x:f>
      </x:c>
    </x:row>
    <x:row r="72">
      <x:c r="A72" s="30" t="n">
        <x:v>67</x:v>
      </x:c>
      <x:c r="B72" s="36" t="str">
        <x:f>IF(A72&lt;=50,"MVP","扩展锚点")</x:f>
        <x:v>扩展锚点</x:v>
      </x:c>
      <x:c r="C72" s="46" t="n">
        <x:f>ROUND('01_核心假设'!$B$35*POWER(A72,'01_核心假设'!$B$36),0)</x:f>
        <x:v>20609</x:v>
      </x:c>
      <x:c r="D72" s="46" t="n">
        <x:f>D71+C72</x:f>
        <x:v>531402</x:v>
      </x:c>
      <x:c r="E72" s="46" t="n">
        <x:f>C72/'01_核心假设'!$B$38</x:f>
        <x:v>2576.125</x:v>
      </x:c>
      <x:c r="F72" s="59" t="n">
        <x:f>E72*30/'01_核心假设'!$B$8</x:f>
        <x:v>1288.0625</x:v>
      </x:c>
      <x:c r="G72" s="62" t="n">
        <x:f>MIN(A72*'01_核心假设'!$B$18,'01_核心假设'!$B$20)</x:f>
        <x:v>0.268</x:v>
      </x:c>
      <x:c r="H72" s="62" t="n">
        <x:f>MIN(A72*'01_核心假设'!$B$19,'01_核心假设'!$B$21)</x:f>
        <x:v>0.402</x:v>
      </x:c>
      <x:c r="I72" s="36" t="str">
        <x:f>IF(COUNTIF('08_工具梯度'!$D$6:$D$30,A72)&gt;0,"工具节点","")</x:f>
      </x:c>
    </x:row>
    <x:row r="73">
      <x:c r="A73" s="30" t="n">
        <x:v>68</x:v>
      </x:c>
      <x:c r="B73" s="36" t="str">
        <x:f>IF(A73&lt;=50,"MVP","扩展锚点")</x:f>
        <x:v>扩展锚点</x:v>
      </x:c>
      <x:c r="C73" s="46" t="n">
        <x:f>ROUND('01_核心假设'!$B$35*POWER(A73,'01_核心假设'!$B$36),0)</x:f>
        <x:v>21119</x:v>
      </x:c>
      <x:c r="D73" s="46" t="n">
        <x:f>D72+C73</x:f>
        <x:v>552521</x:v>
      </x:c>
      <x:c r="E73" s="46" t="n">
        <x:f>C73/'01_核心假设'!$B$38</x:f>
        <x:v>2639.875</x:v>
      </x:c>
      <x:c r="F73" s="59" t="n">
        <x:f>E73*30/'01_核心假设'!$B$8</x:f>
        <x:v>1319.9375</x:v>
      </x:c>
      <x:c r="G73" s="62" t="n">
        <x:f>MIN(A73*'01_核心假设'!$B$18,'01_核心假设'!$B$20)</x:f>
        <x:v>0.272</x:v>
      </x:c>
      <x:c r="H73" s="62" t="n">
        <x:f>MIN(A73*'01_核心假设'!$B$19,'01_核心假设'!$B$21)</x:f>
        <x:v>0.40800000000000003</x:v>
      </x:c>
      <x:c r="I73" s="36" t="str">
        <x:f>IF(COUNTIF('08_工具梯度'!$D$6:$D$30,A73)&gt;0,"工具节点","")</x:f>
      </x:c>
    </x:row>
    <x:row r="74">
      <x:c r="A74" s="30" t="n">
        <x:v>69</x:v>
      </x:c>
      <x:c r="B74" s="36" t="str">
        <x:f>IF(A74&lt;=50,"MVP","扩展锚点")</x:f>
        <x:v>扩展锚点</x:v>
      </x:c>
      <x:c r="C74" s="46" t="n">
        <x:f>ROUND('01_核心假设'!$B$35*POWER(A74,'01_核心假设'!$B$36),0)</x:f>
        <x:v>21634</x:v>
      </x:c>
      <x:c r="D74" s="46" t="n">
        <x:f>D73+C74</x:f>
        <x:v>574155</x:v>
      </x:c>
      <x:c r="E74" s="46" t="n">
        <x:f>C74/'01_核心假设'!$B$38</x:f>
        <x:v>2704.25</x:v>
      </x:c>
      <x:c r="F74" s="59" t="n">
        <x:f>E74*30/'01_核心假设'!$B$8</x:f>
        <x:v>1352.125</x:v>
      </x:c>
      <x:c r="G74" s="62" t="n">
        <x:f>MIN(A74*'01_核心假设'!$B$18,'01_核心假设'!$B$20)</x:f>
        <x:v>0.276</x:v>
      </x:c>
      <x:c r="H74" s="62" t="n">
        <x:f>MIN(A74*'01_核心假设'!$B$19,'01_核心假设'!$B$21)</x:f>
        <x:v>0.41400000000000003</x:v>
      </x:c>
      <x:c r="I74" s="36" t="str">
        <x:f>IF(COUNTIF('08_工具梯度'!$D$6:$D$30,A74)&gt;0,"工具节点","")</x:f>
      </x:c>
    </x:row>
    <x:row r="75">
      <x:c r="A75" s="30" t="n">
        <x:v>70</x:v>
      </x:c>
      <x:c r="B75" s="36" t="str">
        <x:f>IF(A75&lt;=50,"MVP","扩展锚点")</x:f>
        <x:v>扩展锚点</x:v>
      </x:c>
      <x:c r="C75" s="46" t="n">
        <x:f>ROUND('01_核心假设'!$B$35*POWER(A75,'01_核心假设'!$B$36),0)</x:f>
        <x:v>22153</x:v>
      </x:c>
      <x:c r="D75" s="46" t="n">
        <x:f>D74+C75</x:f>
        <x:v>596308</x:v>
      </x:c>
      <x:c r="E75" s="46" t="n">
        <x:f>C75/'01_核心假设'!$B$38</x:f>
        <x:v>2769.125</x:v>
      </x:c>
      <x:c r="F75" s="59" t="n">
        <x:f>E75*30/'01_核心假设'!$B$8</x:f>
        <x:v>1384.5625</x:v>
      </x:c>
      <x:c r="G75" s="62" t="n">
        <x:f>MIN(A75*'01_核心假设'!$B$18,'01_核心假设'!$B$20)</x:f>
        <x:v>0.28</x:v>
      </x:c>
      <x:c r="H75" s="62" t="n">
        <x:f>MIN(A75*'01_核心假设'!$B$19,'01_核心假设'!$B$21)</x:f>
        <x:v>0.42</x:v>
      </x:c>
      <x:c r="I75" s="36" t="str">
        <x:f>IF(COUNTIF('08_工具梯度'!$D$6:$D$30,A75)&gt;0,"工具节点","")</x:f>
      </x:c>
    </x:row>
    <x:row r="76">
      <x:c r="A76" s="30" t="n">
        <x:v>71</x:v>
      </x:c>
      <x:c r="B76" s="36" t="str">
        <x:f>IF(A76&lt;=50,"MVP","扩展锚点")</x:f>
        <x:v>扩展锚点</x:v>
      </x:c>
      <x:c r="C76" s="46" t="n">
        <x:f>ROUND('01_核心假设'!$B$35*POWER(A76,'01_核心假设'!$B$36),0)</x:f>
        <x:v>22678</x:v>
      </x:c>
      <x:c r="D76" s="46" t="n">
        <x:f>D75+C76</x:f>
        <x:v>618986</x:v>
      </x:c>
      <x:c r="E76" s="46" t="n">
        <x:f>C76/'01_核心假设'!$B$38</x:f>
        <x:v>2834.75</x:v>
      </x:c>
      <x:c r="F76" s="59" t="n">
        <x:f>E76*30/'01_核心假设'!$B$8</x:f>
        <x:v>1417.375</x:v>
      </x:c>
      <x:c r="G76" s="62" t="n">
        <x:f>MIN(A76*'01_核心假设'!$B$18,'01_核心假设'!$B$20)</x:f>
        <x:v>0.28400000000000003</x:v>
      </x:c>
      <x:c r="H76" s="62" t="n">
        <x:f>MIN(A76*'01_核心假设'!$B$19,'01_核心假设'!$B$21)</x:f>
        <x:v>0.426</x:v>
      </x:c>
      <x:c r="I76" s="36" t="str">
        <x:f>IF(COUNTIF('08_工具梯度'!$D$6:$D$30,A76)&gt;0,"工具节点","")</x:f>
      </x:c>
    </x:row>
    <x:row r="77">
      <x:c r="A77" s="30" t="n">
        <x:v>72</x:v>
      </x:c>
      <x:c r="B77" s="36" t="str">
        <x:f>IF(A77&lt;=50,"MVP","扩展锚点")</x:f>
        <x:v>扩展锚点</x:v>
      </x:c>
      <x:c r="C77" s="46" t="n">
        <x:f>ROUND('01_核心假设'!$B$35*POWER(A77,'01_核心假设'!$B$36),0)</x:f>
        <x:v>23208</x:v>
      </x:c>
      <x:c r="D77" s="46" t="n">
        <x:f>D76+C77</x:f>
        <x:v>642194</x:v>
      </x:c>
      <x:c r="E77" s="46" t="n">
        <x:f>C77/'01_核心假设'!$B$38</x:f>
        <x:v>2901</x:v>
      </x:c>
      <x:c r="F77" s="59" t="n">
        <x:f>E77*30/'01_核心假设'!$B$8</x:f>
        <x:v>1450.5</x:v>
      </x:c>
      <x:c r="G77" s="62" t="n">
        <x:f>MIN(A77*'01_核心假设'!$B$18,'01_核心假设'!$B$20)</x:f>
        <x:v>0.28800000000000003</x:v>
      </x:c>
      <x:c r="H77" s="62" t="n">
        <x:f>MIN(A77*'01_核心假设'!$B$19,'01_核心假设'!$B$21)</x:f>
        <x:v>0.432</x:v>
      </x:c>
      <x:c r="I77" s="36" t="str">
        <x:f>IF(COUNTIF('08_工具梯度'!$D$6:$D$30,A77)&gt;0,"工具节点","")</x:f>
      </x:c>
    </x:row>
    <x:row r="78">
      <x:c r="A78" s="30" t="n">
        <x:v>73</x:v>
      </x:c>
      <x:c r="B78" s="36" t="str">
        <x:f>IF(A78&lt;=50,"MVP","扩展锚点")</x:f>
        <x:v>扩展锚点</x:v>
      </x:c>
      <x:c r="C78" s="46" t="n">
        <x:f>ROUND('01_核心假设'!$B$35*POWER(A78,'01_核心假设'!$B$36),0)</x:f>
        <x:v>23742</x:v>
      </x:c>
      <x:c r="D78" s="46" t="n">
        <x:f>D77+C78</x:f>
        <x:v>665936</x:v>
      </x:c>
      <x:c r="E78" s="46" t="n">
        <x:f>C78/'01_核心假设'!$B$38</x:f>
        <x:v>2967.75</x:v>
      </x:c>
      <x:c r="F78" s="59" t="n">
        <x:f>E78*30/'01_核心假设'!$B$8</x:f>
        <x:v>1483.875</x:v>
      </x:c>
      <x:c r="G78" s="62" t="n">
        <x:f>MIN(A78*'01_核心假设'!$B$18,'01_核心假设'!$B$20)</x:f>
        <x:v>0.292</x:v>
      </x:c>
      <x:c r="H78" s="62" t="n">
        <x:f>MIN(A78*'01_核心假设'!$B$19,'01_核心假设'!$B$21)</x:f>
        <x:v>0.438</x:v>
      </x:c>
      <x:c r="I78" s="36" t="str">
        <x:f>IF(COUNTIF('08_工具梯度'!$D$6:$D$30,A78)&gt;0,"工具节点","")</x:f>
      </x:c>
    </x:row>
    <x:row r="79">
      <x:c r="A79" s="30" t="n">
        <x:v>74</x:v>
      </x:c>
      <x:c r="B79" s="36" t="str">
        <x:f>IF(A79&lt;=50,"MVP","扩展锚点")</x:f>
        <x:v>扩展锚点</x:v>
      </x:c>
      <x:c r="C79" s="46" t="n">
        <x:f>ROUND('01_核心假设'!$B$35*POWER(A79,'01_核心假设'!$B$36),0)</x:f>
        <x:v>24281</x:v>
      </x:c>
      <x:c r="D79" s="46" t="n">
        <x:f>D78+C79</x:f>
        <x:v>690217</x:v>
      </x:c>
      <x:c r="E79" s="46" t="n">
        <x:f>C79/'01_核心假设'!$B$38</x:f>
        <x:v>3035.125</x:v>
      </x:c>
      <x:c r="F79" s="59" t="n">
        <x:f>E79*30/'01_核心假设'!$B$8</x:f>
        <x:v>1517.5625</x:v>
      </x:c>
      <x:c r="G79" s="62" t="n">
        <x:f>MIN(A79*'01_核心假设'!$B$18,'01_核心假设'!$B$20)</x:f>
        <x:v>0.296</x:v>
      </x:c>
      <x:c r="H79" s="62" t="n">
        <x:f>MIN(A79*'01_核心假设'!$B$19,'01_核心假设'!$B$21)</x:f>
        <x:v>0.444</x:v>
      </x:c>
      <x:c r="I79" s="36" t="str">
        <x:f>IF(COUNTIF('08_工具梯度'!$D$6:$D$30,A79)&gt;0,"工具节点","")</x:f>
      </x:c>
    </x:row>
    <x:row r="80">
      <x:c r="A80" s="30" t="n">
        <x:v>75</x:v>
      </x:c>
      <x:c r="B80" s="36" t="str">
        <x:f>IF(A80&lt;=50,"MVP","扩展锚点")</x:f>
        <x:v>扩展锚点</x:v>
      </x:c>
      <x:c r="C80" s="46" t="n">
        <x:f>ROUND('01_核心假设'!$B$35*POWER(A80,'01_核心假设'!$B$36),0)</x:f>
        <x:v>24825</x:v>
      </x:c>
      <x:c r="D80" s="46" t="n">
        <x:f>D79+C80</x:f>
        <x:v>715042</x:v>
      </x:c>
      <x:c r="E80" s="46" t="n">
        <x:f>C80/'01_核心假设'!$B$38</x:f>
        <x:v>3103.125</x:v>
      </x:c>
      <x:c r="F80" s="59" t="n">
        <x:f>E80*30/'01_核心假设'!$B$8</x:f>
        <x:v>1551.5625</x:v>
      </x:c>
      <x:c r="G80" s="62" t="n">
        <x:f>MIN(A80*'01_核心假设'!$B$18,'01_核心假设'!$B$20)</x:f>
        <x:v>0.3</x:v>
      </x:c>
      <x:c r="H80" s="62" t="n">
        <x:f>MIN(A80*'01_核心假设'!$B$19,'01_核心假设'!$B$21)</x:f>
        <x:v>0.45</x:v>
      </x:c>
      <x:c r="I80" s="36" t="str">
        <x:f>IF(COUNTIF('08_工具梯度'!$D$6:$D$30,A80)&gt;0,"工具节点","")</x:f>
      </x:c>
    </x:row>
    <x:row r="81">
      <x:c r="A81" s="30" t="n">
        <x:v>76</x:v>
      </x:c>
      <x:c r="B81" s="36" t="str">
        <x:f>IF(A81&lt;=50,"MVP","扩展锚点")</x:f>
        <x:v>扩展锚点</x:v>
      </x:c>
      <x:c r="C81" s="46" t="n">
        <x:f>ROUND('01_核心假设'!$B$35*POWER(A81,'01_核心假设'!$B$36),0)</x:f>
        <x:v>25373</x:v>
      </x:c>
      <x:c r="D81" s="46" t="n">
        <x:f>D80+C81</x:f>
        <x:v>740415</x:v>
      </x:c>
      <x:c r="E81" s="46" t="n">
        <x:f>C81/'01_核心假设'!$B$38</x:f>
        <x:v>3171.625</x:v>
      </x:c>
      <x:c r="F81" s="59" t="n">
        <x:f>E81*30/'01_核心假设'!$B$8</x:f>
        <x:v>1585.8125</x:v>
      </x:c>
      <x:c r="G81" s="62" t="n">
        <x:f>MIN(A81*'01_核心假设'!$B$18,'01_核心假设'!$B$20)</x:f>
        <x:v>0.304</x:v>
      </x:c>
      <x:c r="H81" s="62" t="n">
        <x:f>MIN(A81*'01_核心假设'!$B$19,'01_核心假设'!$B$21)</x:f>
        <x:v>0.456</x:v>
      </x:c>
      <x:c r="I81" s="36" t="str">
        <x:f>IF(COUNTIF('08_工具梯度'!$D$6:$D$30,A81)&gt;0,"工具节点","")</x:f>
      </x:c>
    </x:row>
    <x:row r="82">
      <x:c r="A82" s="30" t="n">
        <x:v>77</x:v>
      </x:c>
      <x:c r="B82" s="36" t="str">
        <x:f>IF(A82&lt;=50,"MVP","扩展锚点")</x:f>
        <x:v>扩展锚点</x:v>
      </x:c>
      <x:c r="C82" s="46" t="n">
        <x:f>ROUND('01_核心假设'!$B$35*POWER(A82,'01_核心假设'!$B$36),0)</x:f>
        <x:v>25926</x:v>
      </x:c>
      <x:c r="D82" s="46" t="n">
        <x:f>D81+C82</x:f>
        <x:v>766341</x:v>
      </x:c>
      <x:c r="E82" s="46" t="n">
        <x:f>C82/'01_核心假设'!$B$38</x:f>
        <x:v>3240.75</x:v>
      </x:c>
      <x:c r="F82" s="59" t="n">
        <x:f>E82*30/'01_核心假设'!$B$8</x:f>
        <x:v>1620.375</x:v>
      </x:c>
      <x:c r="G82" s="62" t="n">
        <x:f>MIN(A82*'01_核心假设'!$B$18,'01_核心假设'!$B$20)</x:f>
        <x:v>0.308</x:v>
      </x:c>
      <x:c r="H82" s="62" t="n">
        <x:f>MIN(A82*'01_核心假设'!$B$19,'01_核心假设'!$B$21)</x:f>
        <x:v>0.462</x:v>
      </x:c>
      <x:c r="I82" s="36" t="str">
        <x:f>IF(COUNTIF('08_工具梯度'!$D$6:$D$30,A82)&gt;0,"工具节点","")</x:f>
      </x:c>
    </x:row>
    <x:row r="83">
      <x:c r="A83" s="30" t="n">
        <x:v>78</x:v>
      </x:c>
      <x:c r="B83" s="36" t="str">
        <x:f>IF(A83&lt;=50,"MVP","扩展锚点")</x:f>
        <x:v>扩展锚点</x:v>
      </x:c>
      <x:c r="C83" s="46" t="n">
        <x:f>ROUND('01_核心假设'!$B$35*POWER(A83,'01_核心假设'!$B$36),0)</x:f>
        <x:v>26484</x:v>
      </x:c>
      <x:c r="D83" s="46" t="n">
        <x:f>D82+C83</x:f>
        <x:v>792825</x:v>
      </x:c>
      <x:c r="E83" s="46" t="n">
        <x:f>C83/'01_核心假设'!$B$38</x:f>
        <x:v>3310.5</x:v>
      </x:c>
      <x:c r="F83" s="59" t="n">
        <x:f>E83*30/'01_核心假设'!$B$8</x:f>
        <x:v>1655.25</x:v>
      </x:c>
      <x:c r="G83" s="62" t="n">
        <x:f>MIN(A83*'01_核心假设'!$B$18,'01_核心假设'!$B$20)</x:f>
        <x:v>0.312</x:v>
      </x:c>
      <x:c r="H83" s="62" t="n">
        <x:f>MIN(A83*'01_核心假设'!$B$19,'01_核心假设'!$B$21)</x:f>
        <x:v>0.468</x:v>
      </x:c>
      <x:c r="I83" s="36" t="str">
        <x:f>IF(COUNTIF('08_工具梯度'!$D$6:$D$30,A83)&gt;0,"工具节点","")</x:f>
      </x:c>
    </x:row>
    <x:row r="84">
      <x:c r="A84" s="30" t="n">
        <x:v>79</x:v>
      </x:c>
      <x:c r="B84" s="36" t="str">
        <x:f>IF(A84&lt;=50,"MVP","扩展锚点")</x:f>
        <x:v>扩展锚点</x:v>
      </x:c>
      <x:c r="C84" s="46" t="n">
        <x:f>ROUND('01_核心假设'!$B$35*POWER(A84,'01_核心假设'!$B$36),0)</x:f>
        <x:v>27047</x:v>
      </x:c>
      <x:c r="D84" s="46" t="n">
        <x:f>D83+C84</x:f>
        <x:v>819872</x:v>
      </x:c>
      <x:c r="E84" s="46" t="n">
        <x:f>C84/'01_核心假设'!$B$38</x:f>
        <x:v>3380.875</x:v>
      </x:c>
      <x:c r="F84" s="59" t="n">
        <x:f>E84*30/'01_核心假设'!$B$8</x:f>
        <x:v>1690.4375</x:v>
      </x:c>
      <x:c r="G84" s="62" t="n">
        <x:f>MIN(A84*'01_核心假设'!$B$18,'01_核心假设'!$B$20)</x:f>
        <x:v>0.316</x:v>
      </x:c>
      <x:c r="H84" s="62" t="n">
        <x:f>MIN(A84*'01_核心假设'!$B$19,'01_核心假设'!$B$21)</x:f>
        <x:v>0.47400000000000003</x:v>
      </x:c>
      <x:c r="I84" s="36" t="str">
        <x:f>IF(COUNTIF('08_工具梯度'!$D$6:$D$30,A84)&gt;0,"工具节点","")</x:f>
      </x:c>
    </x:row>
    <x:row r="85">
      <x:c r="A85" s="30" t="n">
        <x:v>80</x:v>
      </x:c>
      <x:c r="B85" s="36" t="str">
        <x:f>IF(A85&lt;=50,"MVP","扩展锚点")</x:f>
        <x:v>扩展锚点</x:v>
      </x:c>
      <x:c r="C85" s="46" t="n">
        <x:f>ROUND('01_核心假设'!$B$35*POWER(A85,'01_核心假设'!$B$36),0)</x:f>
        <x:v>27614</x:v>
      </x:c>
      <x:c r="D85" s="46" t="n">
        <x:f>D84+C85</x:f>
        <x:v>847486</x:v>
      </x:c>
      <x:c r="E85" s="46" t="n">
        <x:f>C85/'01_核心假设'!$B$38</x:f>
        <x:v>3451.75</x:v>
      </x:c>
      <x:c r="F85" s="59" t="n">
        <x:f>E85*30/'01_核心假设'!$B$8</x:f>
        <x:v>1725.875</x:v>
      </x:c>
      <x:c r="G85" s="62" t="n">
        <x:f>MIN(A85*'01_核心假设'!$B$18,'01_核心假设'!$B$20)</x:f>
        <x:v>0.32</x:v>
      </x:c>
      <x:c r="H85" s="62" t="n">
        <x:f>MIN(A85*'01_核心假设'!$B$19,'01_核心假设'!$B$21)</x:f>
        <x:v>0.48</x:v>
      </x:c>
      <x:c r="I85" s="36" t="str">
        <x:f>IF(COUNTIF('08_工具梯度'!$D$6:$D$30,A85)&gt;0,"工具节点","")</x:f>
      </x:c>
    </x:row>
    <x:row r="86">
      <x:c r="A86" s="30" t="n">
        <x:v>81</x:v>
      </x:c>
      <x:c r="B86" s="36" t="str">
        <x:f>IF(A86&lt;=50,"MVP","扩展锚点")</x:f>
        <x:v>扩展锚点</x:v>
      </x:c>
      <x:c r="C86" s="46" t="n">
        <x:f>ROUND('01_核心假设'!$B$35*POWER(A86,'01_核心假设'!$B$36),0)</x:f>
        <x:v>28186</x:v>
      </x:c>
      <x:c r="D86" s="46" t="n">
        <x:f>D85+C86</x:f>
        <x:v>875672</x:v>
      </x:c>
      <x:c r="E86" s="46" t="n">
        <x:f>C86/'01_核心假设'!$B$38</x:f>
        <x:v>3523.25</x:v>
      </x:c>
      <x:c r="F86" s="59" t="n">
        <x:f>E86*30/'01_核心假设'!$B$8</x:f>
        <x:v>1761.625</x:v>
      </x:c>
      <x:c r="G86" s="62" t="n">
        <x:f>MIN(A86*'01_核心假设'!$B$18,'01_核心假设'!$B$20)</x:f>
        <x:v>0.324</x:v>
      </x:c>
      <x:c r="H86" s="62" t="n">
        <x:f>MIN(A86*'01_核心假设'!$B$19,'01_核心假设'!$B$21)</x:f>
        <x:v>0.486</x:v>
      </x:c>
      <x:c r="I86" s="36" t="str">
        <x:f>IF(COUNTIF('08_工具梯度'!$D$6:$D$30,A86)&gt;0,"工具节点","")</x:f>
      </x:c>
    </x:row>
    <x:row r="87">
      <x:c r="A87" s="30" t="n">
        <x:v>82</x:v>
      </x:c>
      <x:c r="B87" s="36" t="str">
        <x:f>IF(A87&lt;=50,"MVP","扩展锚点")</x:f>
        <x:v>扩展锚点</x:v>
      </x:c>
      <x:c r="C87" s="46" t="n">
        <x:f>ROUND('01_核心假设'!$B$35*POWER(A87,'01_核心假设'!$B$36),0)</x:f>
        <x:v>28762</x:v>
      </x:c>
      <x:c r="D87" s="46" t="n">
        <x:f>D86+C87</x:f>
        <x:v>904434</x:v>
      </x:c>
      <x:c r="E87" s="46" t="n">
        <x:f>C87/'01_核心假设'!$B$38</x:f>
        <x:v>3595.25</x:v>
      </x:c>
      <x:c r="F87" s="59" t="n">
        <x:f>E87*30/'01_核心假设'!$B$8</x:f>
        <x:v>1797.625</x:v>
      </x:c>
      <x:c r="G87" s="62" t="n">
        <x:f>MIN(A87*'01_核心假设'!$B$18,'01_核心假设'!$B$20)</x:f>
        <x:v>0.328</x:v>
      </x:c>
      <x:c r="H87" s="62" t="n">
        <x:f>MIN(A87*'01_核心假设'!$B$19,'01_核心假设'!$B$21)</x:f>
        <x:v>0.492</x:v>
      </x:c>
      <x:c r="I87" s="36" t="str">
        <x:f>IF(COUNTIF('08_工具梯度'!$D$6:$D$30,A87)&gt;0,"工具节点","")</x:f>
      </x:c>
    </x:row>
    <x:row r="88">
      <x:c r="A88" s="30" t="n">
        <x:v>83</x:v>
      </x:c>
      <x:c r="B88" s="36" t="str">
        <x:f>IF(A88&lt;=50,"MVP","扩展锚点")</x:f>
        <x:v>扩展锚点</x:v>
      </x:c>
      <x:c r="C88" s="46" t="n">
        <x:f>ROUND('01_核心假设'!$B$35*POWER(A88,'01_核心假设'!$B$36),0)</x:f>
        <x:v>29343</x:v>
      </x:c>
      <x:c r="D88" s="46" t="n">
        <x:f>D87+C88</x:f>
        <x:v>933777</x:v>
      </x:c>
      <x:c r="E88" s="46" t="n">
        <x:f>C88/'01_核心假设'!$B$38</x:f>
        <x:v>3667.875</x:v>
      </x:c>
      <x:c r="F88" s="59" t="n">
        <x:f>E88*30/'01_核心假设'!$B$8</x:f>
        <x:v>1833.9375</x:v>
      </x:c>
      <x:c r="G88" s="62" t="n">
        <x:f>MIN(A88*'01_核心假设'!$B$18,'01_核心假设'!$B$20)</x:f>
        <x:v>0.332</x:v>
      </x:c>
      <x:c r="H88" s="62" t="n">
        <x:f>MIN(A88*'01_核心假设'!$B$19,'01_核心假设'!$B$21)</x:f>
        <x:v>0.498</x:v>
      </x:c>
      <x:c r="I88" s="36" t="str">
        <x:f>IF(COUNTIF('08_工具梯度'!$D$6:$D$30,A88)&gt;0,"工具节点","")</x:f>
      </x:c>
    </x:row>
    <x:row r="89">
      <x:c r="A89" s="30" t="n">
        <x:v>84</x:v>
      </x:c>
      <x:c r="B89" s="36" t="str">
        <x:f>IF(A89&lt;=50,"MVP","扩展锚点")</x:f>
        <x:v>扩展锚点</x:v>
      </x:c>
      <x:c r="C89" s="46" t="n">
        <x:f>ROUND('01_核心假设'!$B$35*POWER(A89,'01_核心假设'!$B$36),0)</x:f>
        <x:v>29929</x:v>
      </x:c>
      <x:c r="D89" s="46" t="n">
        <x:f>D88+C89</x:f>
        <x:v>963706</x:v>
      </x:c>
      <x:c r="E89" s="46" t="n">
        <x:f>C89/'01_核心假设'!$B$38</x:f>
        <x:v>3741.125</x:v>
      </x:c>
      <x:c r="F89" s="59" t="n">
        <x:f>E89*30/'01_核心假设'!$B$8</x:f>
        <x:v>1870.5625</x:v>
      </x:c>
      <x:c r="G89" s="62" t="n">
        <x:f>MIN(A89*'01_核心假设'!$B$18,'01_核心假设'!$B$20)</x:f>
        <x:v>0.336</x:v>
      </x:c>
      <x:c r="H89" s="62" t="n">
        <x:f>MIN(A89*'01_核心假设'!$B$19,'01_核心假设'!$B$21)</x:f>
        <x:v>0.504</x:v>
      </x:c>
      <x:c r="I89" s="36" t="str">
        <x:f>IF(COUNTIF('08_工具梯度'!$D$6:$D$30,A89)&gt;0,"工具节点","")</x:f>
      </x:c>
    </x:row>
    <x:row r="90">
      <x:c r="A90" s="30" t="n">
        <x:v>85</x:v>
      </x:c>
      <x:c r="B90" s="36" t="str">
        <x:f>IF(A90&lt;=50,"MVP","扩展锚点")</x:f>
        <x:v>扩展锚点</x:v>
      </x:c>
      <x:c r="C90" s="46" t="n">
        <x:f>ROUND('01_核心假设'!$B$35*POWER(A90,'01_核心假设'!$B$36),0)</x:f>
        <x:v>30519</x:v>
      </x:c>
      <x:c r="D90" s="46" t="n">
        <x:f>D89+C90</x:f>
        <x:v>994225</x:v>
      </x:c>
      <x:c r="E90" s="46" t="n">
        <x:f>C90/'01_核心假设'!$B$38</x:f>
        <x:v>3814.875</x:v>
      </x:c>
      <x:c r="F90" s="59" t="n">
        <x:f>E90*30/'01_核心假设'!$B$8</x:f>
        <x:v>1907.4375</x:v>
      </x:c>
      <x:c r="G90" s="62" t="n">
        <x:f>MIN(A90*'01_核心假设'!$B$18,'01_核心假设'!$B$20)</x:f>
        <x:v>0.34</x:v>
      </x:c>
      <x:c r="H90" s="62" t="n">
        <x:f>MIN(A90*'01_核心假设'!$B$19,'01_核心假设'!$B$21)</x:f>
        <x:v>0.51</x:v>
      </x:c>
      <x:c r="I90" s="36" t="str">
        <x:f>IF(COUNTIF('08_工具梯度'!$D$6:$D$30,A90)&gt;0,"工具节点","")</x:f>
      </x:c>
    </x:row>
    <x:row r="91">
      <x:c r="A91" s="30" t="n">
        <x:v>86</x:v>
      </x:c>
      <x:c r="B91" s="36" t="str">
        <x:f>IF(A91&lt;=50,"MVP","扩展锚点")</x:f>
        <x:v>扩展锚点</x:v>
      </x:c>
      <x:c r="C91" s="46" t="n">
        <x:f>ROUND('01_核心假设'!$B$35*POWER(A91,'01_核心假设'!$B$36),0)</x:f>
        <x:v>31114</x:v>
      </x:c>
      <x:c r="D91" s="46" t="n">
        <x:f>D90+C91</x:f>
        <x:v>1025339</x:v>
      </x:c>
      <x:c r="E91" s="46" t="n">
        <x:f>C91/'01_核心假设'!$B$38</x:f>
        <x:v>3889.25</x:v>
      </x:c>
      <x:c r="F91" s="59" t="n">
        <x:f>E91*30/'01_核心假设'!$B$8</x:f>
        <x:v>1944.625</x:v>
      </x:c>
      <x:c r="G91" s="62" t="n">
        <x:f>MIN(A91*'01_核心假设'!$B$18,'01_核心假设'!$B$20)</x:f>
        <x:v>0.34400000000000003</x:v>
      </x:c>
      <x:c r="H91" s="62" t="n">
        <x:f>MIN(A91*'01_核心假设'!$B$19,'01_核心假设'!$B$21)</x:f>
        <x:v>0.516</x:v>
      </x:c>
      <x:c r="I91" s="36" t="str">
        <x:f>IF(COUNTIF('08_工具梯度'!$D$6:$D$30,A91)&gt;0,"工具节点","")</x:f>
      </x:c>
    </x:row>
    <x:row r="92">
      <x:c r="A92" s="30" t="n">
        <x:v>87</x:v>
      </x:c>
      <x:c r="B92" s="36" t="str">
        <x:f>IF(A92&lt;=50,"MVP","扩展锚点")</x:f>
        <x:v>扩展锚点</x:v>
      </x:c>
      <x:c r="C92" s="46" t="n">
        <x:f>ROUND('01_核心假设'!$B$35*POWER(A92,'01_核心假设'!$B$36),0)</x:f>
        <x:v>31713</x:v>
      </x:c>
      <x:c r="D92" s="46" t="n">
        <x:f>D91+C92</x:f>
        <x:v>1057052</x:v>
      </x:c>
      <x:c r="E92" s="46" t="n">
        <x:f>C92/'01_核心假设'!$B$38</x:f>
        <x:v>3964.125</x:v>
      </x:c>
      <x:c r="F92" s="59" t="n">
        <x:f>E92*30/'01_核心假设'!$B$8</x:f>
        <x:v>1982.0625</x:v>
      </x:c>
      <x:c r="G92" s="62" t="n">
        <x:f>MIN(A92*'01_核心假设'!$B$18,'01_核心假设'!$B$20)</x:f>
        <x:v>0.34800000000000003</x:v>
      </x:c>
      <x:c r="H92" s="62" t="n">
        <x:f>MIN(A92*'01_核心假设'!$B$19,'01_核心假设'!$B$21)</x:f>
        <x:v>0.522</x:v>
      </x:c>
      <x:c r="I92" s="36" t="str">
        <x:f>IF(COUNTIF('08_工具梯度'!$D$6:$D$30,A92)&gt;0,"工具节点","")</x:f>
      </x:c>
    </x:row>
    <x:row r="93">
      <x:c r="A93" s="30" t="n">
        <x:v>88</x:v>
      </x:c>
      <x:c r="B93" s="36" t="str">
        <x:f>IF(A93&lt;=50,"MVP","扩展锚点")</x:f>
        <x:v>扩展锚点</x:v>
      </x:c>
      <x:c r="C93" s="46" t="n">
        <x:f>ROUND('01_核心假设'!$B$35*POWER(A93,'01_核心假设'!$B$36),0)</x:f>
        <x:v>32317</x:v>
      </x:c>
      <x:c r="D93" s="46" t="n">
        <x:f>D92+C93</x:f>
        <x:v>1089369</x:v>
      </x:c>
      <x:c r="E93" s="46" t="n">
        <x:f>C93/'01_核心假设'!$B$38</x:f>
        <x:v>4039.625</x:v>
      </x:c>
      <x:c r="F93" s="59" t="n">
        <x:f>E93*30/'01_核心假设'!$B$8</x:f>
        <x:v>2019.8125</x:v>
      </x:c>
      <x:c r="G93" s="62" t="n">
        <x:f>MIN(A93*'01_核心假设'!$B$18,'01_核心假设'!$B$20)</x:f>
        <x:v>0.352</x:v>
      </x:c>
      <x:c r="H93" s="62" t="n">
        <x:f>MIN(A93*'01_核心假设'!$B$19,'01_核心假设'!$B$21)</x:f>
        <x:v>0.528</x:v>
      </x:c>
      <x:c r="I93" s="36" t="str">
        <x:f>IF(COUNTIF('08_工具梯度'!$D$6:$D$30,A93)&gt;0,"工具节点","")</x:f>
      </x:c>
    </x:row>
    <x:row r="94">
      <x:c r="A94" s="30" t="n">
        <x:v>89</x:v>
      </x:c>
      <x:c r="B94" s="36" t="str">
        <x:f>IF(A94&lt;=50,"MVP","扩展锚点")</x:f>
        <x:v>扩展锚点</x:v>
      </x:c>
      <x:c r="C94" s="46" t="n">
        <x:f>ROUND('01_核心假设'!$B$35*POWER(A94,'01_核心假设'!$B$36),0)</x:f>
        <x:v>32925</x:v>
      </x:c>
      <x:c r="D94" s="46" t="n">
        <x:f>D93+C94</x:f>
        <x:v>1122294</x:v>
      </x:c>
      <x:c r="E94" s="46" t="n">
        <x:f>C94/'01_核心假设'!$B$38</x:f>
        <x:v>4115.625</x:v>
      </x:c>
      <x:c r="F94" s="59" t="n">
        <x:f>E94*30/'01_核心假设'!$B$8</x:f>
        <x:v>2057.8125</x:v>
      </x:c>
      <x:c r="G94" s="62" t="n">
        <x:f>MIN(A94*'01_核心假设'!$B$18,'01_核心假设'!$B$20)</x:f>
        <x:v>0.356</x:v>
      </x:c>
      <x:c r="H94" s="62" t="n">
        <x:f>MIN(A94*'01_核心假设'!$B$19,'01_核心假设'!$B$21)</x:f>
        <x:v>0.534</x:v>
      </x:c>
      <x:c r="I94" s="36" t="str">
        <x:f>IF(COUNTIF('08_工具梯度'!$D$6:$D$30,A94)&gt;0,"工具节点","")</x:f>
      </x:c>
    </x:row>
    <x:row r="95">
      <x:c r="A95" s="30" t="n">
        <x:v>90</x:v>
      </x:c>
      <x:c r="B95" s="36" t="str">
        <x:f>IF(A95&lt;=50,"MVP","扩展锚点")</x:f>
        <x:v>扩展锚点</x:v>
      </x:c>
      <x:c r="C95" s="46" t="n">
        <x:f>ROUND('01_核心假设'!$B$35*POWER(A95,'01_核心假设'!$B$36),0)</x:f>
        <x:v>33537</x:v>
      </x:c>
      <x:c r="D95" s="46" t="n">
        <x:f>D94+C95</x:f>
        <x:v>1155831</x:v>
      </x:c>
      <x:c r="E95" s="46" t="n">
        <x:f>C95/'01_核心假设'!$B$38</x:f>
        <x:v>4192.125</x:v>
      </x:c>
      <x:c r="F95" s="59" t="n">
        <x:f>E95*30/'01_核心假设'!$B$8</x:f>
        <x:v>2096.0625</x:v>
      </x:c>
      <x:c r="G95" s="62" t="n">
        <x:f>MIN(A95*'01_核心假设'!$B$18,'01_核心假设'!$B$20)</x:f>
        <x:v>0.36</x:v>
      </x:c>
      <x:c r="H95" s="62" t="n">
        <x:f>MIN(A95*'01_核心假设'!$B$19,'01_核心假设'!$B$21)</x:f>
        <x:v>0.54</x:v>
      </x:c>
      <x:c r="I95" s="36" t="str">
        <x:f>IF(COUNTIF('08_工具梯度'!$D$6:$D$30,A95)&gt;0,"工具节点","")</x:f>
      </x:c>
    </x:row>
    <x:row r="96">
      <x:c r="A96" s="30" t="n">
        <x:v>91</x:v>
      </x:c>
      <x:c r="B96" s="36" t="str">
        <x:f>IF(A96&lt;=50,"MVP","扩展锚点")</x:f>
        <x:v>扩展锚点</x:v>
      </x:c>
      <x:c r="C96" s="46" t="n">
        <x:f>ROUND('01_核心假设'!$B$35*POWER(A96,'01_核心假设'!$B$36),0)</x:f>
        <x:v>34155</x:v>
      </x:c>
      <x:c r="D96" s="46" t="n">
        <x:f>D95+C96</x:f>
        <x:v>1189986</x:v>
      </x:c>
      <x:c r="E96" s="46" t="n">
        <x:f>C96/'01_核心假设'!$B$38</x:f>
        <x:v>4269.375</x:v>
      </x:c>
      <x:c r="F96" s="59" t="n">
        <x:f>E96*30/'01_核心假设'!$B$8</x:f>
        <x:v>2134.6875</x:v>
      </x:c>
      <x:c r="G96" s="62" t="n">
        <x:f>MIN(A96*'01_核心假设'!$B$18,'01_核心假设'!$B$20)</x:f>
        <x:v>0.364</x:v>
      </x:c>
      <x:c r="H96" s="62" t="n">
        <x:f>MIN(A96*'01_核心假设'!$B$19,'01_核心假设'!$B$21)</x:f>
        <x:v>0.546</x:v>
      </x:c>
      <x:c r="I96" s="36" t="str">
        <x:f>IF(COUNTIF('08_工具梯度'!$D$6:$D$30,A96)&gt;0,"工具节点","")</x:f>
      </x:c>
    </x:row>
    <x:row r="97">
      <x:c r="A97" s="30" t="n">
        <x:v>92</x:v>
      </x:c>
      <x:c r="B97" s="36" t="str">
        <x:f>IF(A97&lt;=50,"MVP","扩展锚点")</x:f>
        <x:v>扩展锚点</x:v>
      </x:c>
      <x:c r="C97" s="46" t="n">
        <x:f>ROUND('01_核心假设'!$B$35*POWER(A97,'01_核心假设'!$B$36),0)</x:f>
        <x:v>34776</x:v>
      </x:c>
      <x:c r="D97" s="46" t="n">
        <x:f>D96+C97</x:f>
        <x:v>1224762</x:v>
      </x:c>
      <x:c r="E97" s="46" t="n">
        <x:f>C97/'01_核心假设'!$B$38</x:f>
        <x:v>4347</x:v>
      </x:c>
      <x:c r="F97" s="59" t="n">
        <x:f>E97*30/'01_核心假设'!$B$8</x:f>
        <x:v>2173.5</x:v>
      </x:c>
      <x:c r="G97" s="62" t="n">
        <x:f>MIN(A97*'01_核心假设'!$B$18,'01_核心假设'!$B$20)</x:f>
        <x:v>0.368</x:v>
      </x:c>
      <x:c r="H97" s="62" t="n">
        <x:f>MIN(A97*'01_核心假设'!$B$19,'01_核心假设'!$B$21)</x:f>
        <x:v>0.552</x:v>
      </x:c>
      <x:c r="I97" s="36" t="str">
        <x:f>IF(COUNTIF('08_工具梯度'!$D$6:$D$30,A97)&gt;0,"工具节点","")</x:f>
      </x:c>
    </x:row>
    <x:row r="98">
      <x:c r="A98" s="30" t="n">
        <x:v>93</x:v>
      </x:c>
      <x:c r="B98" s="36" t="str">
        <x:f>IF(A98&lt;=50,"MVP","扩展锚点")</x:f>
        <x:v>扩展锚点</x:v>
      </x:c>
      <x:c r="C98" s="46" t="n">
        <x:f>ROUND('01_核心假设'!$B$35*POWER(A98,'01_核心假设'!$B$36),0)</x:f>
        <x:v>35402</x:v>
      </x:c>
      <x:c r="D98" s="46" t="n">
        <x:f>D97+C98</x:f>
        <x:v>1260164</x:v>
      </x:c>
      <x:c r="E98" s="46" t="n">
        <x:f>C98/'01_核心假设'!$B$38</x:f>
        <x:v>4425.25</x:v>
      </x:c>
      <x:c r="F98" s="59" t="n">
        <x:f>E98*30/'01_核心假设'!$B$8</x:f>
        <x:v>2212.625</x:v>
      </x:c>
      <x:c r="G98" s="62" t="n">
        <x:f>MIN(A98*'01_核心假设'!$B$18,'01_核心假设'!$B$20)</x:f>
        <x:v>0.372</x:v>
      </x:c>
      <x:c r="H98" s="62" t="n">
        <x:f>MIN(A98*'01_核心假设'!$B$19,'01_核心假设'!$B$21)</x:f>
        <x:v>0.558</x:v>
      </x:c>
      <x:c r="I98" s="36" t="str">
        <x:f>IF(COUNTIF('08_工具梯度'!$D$6:$D$30,A98)&gt;0,"工具节点","")</x:f>
      </x:c>
    </x:row>
    <x:row r="99">
      <x:c r="A99" s="30" t="n">
        <x:v>94</x:v>
      </x:c>
      <x:c r="B99" s="36" t="str">
        <x:f>IF(A99&lt;=50,"MVP","扩展锚点")</x:f>
        <x:v>扩展锚点</x:v>
      </x:c>
      <x:c r="C99" s="46" t="n">
        <x:f>ROUND('01_核心假设'!$B$35*POWER(A99,'01_核心假设'!$B$36),0)</x:f>
        <x:v>36032</x:v>
      </x:c>
      <x:c r="D99" s="46" t="n">
        <x:f>D98+C99</x:f>
        <x:v>1296196</x:v>
      </x:c>
      <x:c r="E99" s="46" t="n">
        <x:f>C99/'01_核心假设'!$B$38</x:f>
        <x:v>4504</x:v>
      </x:c>
      <x:c r="F99" s="59" t="n">
        <x:f>E99*30/'01_核心假设'!$B$8</x:f>
        <x:v>2252</x:v>
      </x:c>
      <x:c r="G99" s="62" t="n">
        <x:f>MIN(A99*'01_核心假设'!$B$18,'01_核心假设'!$B$20)</x:f>
        <x:v>0.376</x:v>
      </x:c>
      <x:c r="H99" s="62" t="n">
        <x:f>MIN(A99*'01_核心假设'!$B$19,'01_核心假设'!$B$21)</x:f>
        <x:v>0.5640000000000001</x:v>
      </x:c>
      <x:c r="I99" s="36" t="str">
        <x:f>IF(COUNTIF('08_工具梯度'!$D$6:$D$30,A99)&gt;0,"工具节点","")</x:f>
      </x:c>
    </x:row>
    <x:row r="100">
      <x:c r="A100" s="30" t="n">
        <x:v>95</x:v>
      </x:c>
      <x:c r="B100" s="36" t="str">
        <x:f>IF(A100&lt;=50,"MVP","扩展锚点")</x:f>
        <x:v>扩展锚点</x:v>
      </x:c>
      <x:c r="C100" s="46" t="n">
        <x:f>ROUND('01_核心假设'!$B$35*POWER(A100,'01_核心假设'!$B$36),0)</x:f>
        <x:v>36667</x:v>
      </x:c>
      <x:c r="D100" s="46" t="n">
        <x:f>D99+C100</x:f>
        <x:v>1332863</x:v>
      </x:c>
      <x:c r="E100" s="46" t="n">
        <x:f>C100/'01_核心假设'!$B$38</x:f>
        <x:v>4583.375</x:v>
      </x:c>
      <x:c r="F100" s="59" t="n">
        <x:f>E100*30/'01_核心假设'!$B$8</x:f>
        <x:v>2291.6875</x:v>
      </x:c>
      <x:c r="G100" s="62" t="n">
        <x:f>MIN(A100*'01_核心假设'!$B$18,'01_核心假设'!$B$20)</x:f>
        <x:v>0.38</x:v>
      </x:c>
      <x:c r="H100" s="62" t="n">
        <x:f>MIN(A100*'01_核心假设'!$B$19,'01_核心假设'!$B$21)</x:f>
        <x:v>0.5700000000000001</x:v>
      </x:c>
      <x:c r="I100" s="36" t="str">
        <x:f>IF(COUNTIF('08_工具梯度'!$D$6:$D$30,A100)&gt;0,"工具节点","")</x:f>
      </x:c>
    </x:row>
    <x:row r="101">
      <x:c r="A101" s="30" t="n">
        <x:v>96</x:v>
      </x:c>
      <x:c r="B101" s="36" t="str">
        <x:f>IF(A101&lt;=50,"MVP","扩展锚点")</x:f>
        <x:v>扩展锚点</x:v>
      </x:c>
      <x:c r="C101" s="46" t="n">
        <x:f>ROUND('01_核心假设'!$B$35*POWER(A101,'01_核心假设'!$B$36),0)</x:f>
        <x:v>37306</x:v>
      </x:c>
      <x:c r="D101" s="46" t="n">
        <x:f>D100+C101</x:f>
        <x:v>1370169</x:v>
      </x:c>
      <x:c r="E101" s="46" t="n">
        <x:f>C101/'01_核心假设'!$B$38</x:f>
        <x:v>4663.25</x:v>
      </x:c>
      <x:c r="F101" s="59" t="n">
        <x:f>E101*30/'01_核心假设'!$B$8</x:f>
        <x:v>2331.625</x:v>
      </x:c>
      <x:c r="G101" s="62" t="n">
        <x:f>MIN(A101*'01_核心假设'!$B$18,'01_核心假设'!$B$20)</x:f>
        <x:v>0.384</x:v>
      </x:c>
      <x:c r="H101" s="62" t="n">
        <x:f>MIN(A101*'01_核心假设'!$B$19,'01_核心假设'!$B$21)</x:f>
        <x:v>0.5760000000000001</x:v>
      </x:c>
      <x:c r="I101" s="36" t="str">
        <x:f>IF(COUNTIF('08_工具梯度'!$D$6:$D$30,A101)&gt;0,"工具节点","")</x:f>
      </x:c>
    </x:row>
    <x:row r="102">
      <x:c r="A102" s="30" t="n">
        <x:v>97</x:v>
      </x:c>
      <x:c r="B102" s="36" t="str">
        <x:f>IF(A102&lt;=50,"MVP","扩展锚点")</x:f>
        <x:v>扩展锚点</x:v>
      </x:c>
      <x:c r="C102" s="46" t="n">
        <x:f>ROUND('01_核心假设'!$B$35*POWER(A102,'01_核心假设'!$B$36),0)</x:f>
        <x:v>37949</x:v>
      </x:c>
      <x:c r="D102" s="46" t="n">
        <x:f>D101+C102</x:f>
        <x:v>1408118</x:v>
      </x:c>
      <x:c r="E102" s="46" t="n">
        <x:f>C102/'01_核心假设'!$B$38</x:f>
        <x:v>4743.625</x:v>
      </x:c>
      <x:c r="F102" s="59" t="n">
        <x:f>E102*30/'01_核心假设'!$B$8</x:f>
        <x:v>2371.8125</x:v>
      </x:c>
      <x:c r="G102" s="62" t="n">
        <x:f>MIN(A102*'01_核心假设'!$B$18,'01_核心假设'!$B$20)</x:f>
        <x:v>0.388</x:v>
      </x:c>
      <x:c r="H102" s="62" t="n">
        <x:f>MIN(A102*'01_核心假设'!$B$19,'01_核心假设'!$B$21)</x:f>
        <x:v>0.582</x:v>
      </x:c>
      <x:c r="I102" s="36" t="str">
        <x:f>IF(COUNTIF('08_工具梯度'!$D$6:$D$30,A102)&gt;0,"工具节点","")</x:f>
      </x:c>
    </x:row>
    <x:row r="103">
      <x:c r="A103" s="30" t="n">
        <x:v>98</x:v>
      </x:c>
      <x:c r="B103" s="36" t="str">
        <x:f>IF(A103&lt;=50,"MVP","扩展锚点")</x:f>
        <x:v>扩展锚点</x:v>
      </x:c>
      <x:c r="C103" s="46" t="n">
        <x:f>ROUND('01_核心假设'!$B$35*POWER(A103,'01_核心假设'!$B$36),0)</x:f>
        <x:v>38597</x:v>
      </x:c>
      <x:c r="D103" s="46" t="n">
        <x:f>D102+C103</x:f>
        <x:v>1446715</x:v>
      </x:c>
      <x:c r="E103" s="46" t="n">
        <x:f>C103/'01_核心假设'!$B$38</x:f>
        <x:v>4824.625</x:v>
      </x:c>
      <x:c r="F103" s="59" t="n">
        <x:f>E103*30/'01_核心假设'!$B$8</x:f>
        <x:v>2412.3125</x:v>
      </x:c>
      <x:c r="G103" s="62" t="n">
        <x:f>MIN(A103*'01_核心假设'!$B$18,'01_核心假设'!$B$20)</x:f>
        <x:v>0.392</x:v>
      </x:c>
      <x:c r="H103" s="62" t="n">
        <x:f>MIN(A103*'01_核心假设'!$B$19,'01_核心假设'!$B$21)</x:f>
        <x:v>0.588</x:v>
      </x:c>
      <x:c r="I103" s="36" t="str">
        <x:f>IF(COUNTIF('08_工具梯度'!$D$6:$D$30,A103)&gt;0,"工具节点","")</x:f>
      </x:c>
    </x:row>
    <x:row r="104">
      <x:c r="A104" s="30" t="n">
        <x:v>99</x:v>
      </x:c>
      <x:c r="B104" s="36" t="str">
        <x:f>IF(A104&lt;=50,"MVP","扩展锚点")</x:f>
        <x:v>扩展锚点</x:v>
      </x:c>
      <x:c r="C104" s="46" t="n">
        <x:f>ROUND('01_核心假设'!$B$35*POWER(A104,'01_核心假设'!$B$36),0)</x:f>
        <x:v>39249</x:v>
      </x:c>
      <x:c r="D104" s="46" t="n">
        <x:f>D103+C104</x:f>
        <x:v>1485964</x:v>
      </x:c>
      <x:c r="E104" s="46" t="n">
        <x:f>C104/'01_核心假设'!$B$38</x:f>
        <x:v>4906.125</x:v>
      </x:c>
      <x:c r="F104" s="59" t="n">
        <x:f>E104*30/'01_核心假设'!$B$8</x:f>
        <x:v>2453.0625</x:v>
      </x:c>
      <x:c r="G104" s="62" t="n">
        <x:f>MIN(A104*'01_核心假设'!$B$18,'01_核心假设'!$B$20)</x:f>
        <x:v>0.396</x:v>
      </x:c>
      <x:c r="H104" s="62" t="n">
        <x:f>MIN(A104*'01_核心假设'!$B$19,'01_核心假设'!$B$21)</x:f>
        <x:v>0.594</x:v>
      </x:c>
      <x:c r="I104" s="36" t="str">
        <x:f>IF(COUNTIF('08_工具梯度'!$D$6:$D$30,A104)&gt;0,"工具节点","")</x:f>
      </x:c>
    </x:row>
    <x:row r="105">
      <x:c r="A105" s="31" t="n">
        <x:v>100</x:v>
      </x:c>
      <x:c r="B105" s="37" t="str">
        <x:f>IF(A105&lt;=50,"MVP","扩展锚点")</x:f>
        <x:v>扩展锚点</x:v>
      </x:c>
      <x:c r="C105" s="48" t="n">
        <x:f>ROUND('01_核心假设'!$B$35*POWER(A105,'01_核心假设'!$B$36),0)</x:f>
        <x:v>39905</x:v>
      </x:c>
      <x:c r="D105" s="48" t="n">
        <x:f>D104+C105</x:f>
        <x:v>1525869</x:v>
      </x:c>
      <x:c r="E105" s="48" t="n">
        <x:f>C105/'01_核心假设'!$B$38</x:f>
        <x:v>4988.125</x:v>
      </x:c>
      <x:c r="F105" s="60" t="n">
        <x:f>E105*30/'01_核心假设'!$B$8</x:f>
        <x:v>2494.0625</x:v>
      </x:c>
      <x:c r="G105" s="63" t="n">
        <x:f>MIN(A105*'01_核心假设'!$B$18,'01_核心假设'!$B$20)</x:f>
        <x:v>0.4</x:v>
      </x:c>
      <x:c r="H105" s="63" t="n">
        <x:f>MIN(A105*'01_核心假设'!$B$19,'01_核心假设'!$B$21)</x:f>
        <x:v>0.6</x:v>
      </x:c>
      <x:c r="I105" s="37" t="str">
        <x:f>IF(COUNTIF('08_工具梯度'!$D$6:$D$30,A105)&gt;0,"工具节点","")</x:f>
      </x:c>
    </x:row>
  </x:sheetData>
  <x:mergeCells>
    <x:mergeCell ref="A1:I1"/>
    <x:mergeCell ref="A2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1" hidden="0" customWidth="1"/>
    <x:col min="6" max="6" width="14" hidden="0" customWidth="1"/>
    <x:col min="7" max="7" width="11" hidden="0" customWidth="1"/>
    <x:col min="8" max="8" width="10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11" hidden="0" customWidth="1"/>
    <x:col min="14" max="14" width="11" hidden="0" customWidth="1"/>
    <x:col min="15" max="15" width="13" hidden="0" customWidth="1"/>
    <x:col min="16" max="16" width="15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5" hidden="0" customWidth="1"/>
    <x:col min="22" max="22" width="11" hidden="0" customWidth="1"/>
  </x:cols>
  <x:sheetData>
    <x:row r="1" ht="30" customHeight="1">
      <x:c r="A1" s="3" t="str">
        <x:v>采集行动：时间、产量、XP与价值/小时</x:v>
      </x:c>
      <x:c r="B1" s="3" t="str">
        <x:v>采集行动：时间、产量、XP与价值/小时</x:v>
      </x:c>
      <x:c r="C1" s="3" t="str">
        <x:v>采集行动：时间、产量、XP与价值/小时</x:v>
      </x:c>
      <x:c r="D1" s="3" t="str">
        <x:v>采集行动：时间、产量、XP与价值/小时</x:v>
      </x:c>
      <x:c r="E1" s="3" t="str">
        <x:v>采集行动：时间、产量、XP与价值/小时</x:v>
      </x:c>
      <x:c r="F1" s="3" t="str">
        <x:v>采集行动：时间、产量、XP与价值/小时</x:v>
      </x:c>
      <x:c r="G1" s="3" t="str">
        <x:v>采集行动：时间、产量、XP与价值/小时</x:v>
      </x:c>
      <x:c r="H1" s="3" t="str">
        <x:v>采集行动：时间、产量、XP与价值/小时</x:v>
      </x:c>
      <x:c r="I1" s="3" t="str">
        <x:v>采集行动：时间、产量、XP与价值/小时</x:v>
      </x:c>
      <x:c r="J1" s="3" t="str">
        <x:v>采集行动：时间、产量、XP与价值/小时</x:v>
      </x:c>
      <x:c r="K1" s="3" t="str">
        <x:v>采集行动：时间、产量、XP与价值/小时</x:v>
      </x:c>
      <x:c r="L1" s="3" t="str">
        <x:v>采集行动：时间、产量、XP与价值/小时</x:v>
      </x:c>
      <x:c r="M1" s="3" t="str">
        <x:v>采集行动：时间、产量、XP与价值/小时</x:v>
      </x:c>
      <x:c r="N1" s="3" t="str">
        <x:v>采集行动：时间、产量、XP与价值/小时</x:v>
      </x:c>
      <x:c r="O1" s="3" t="str">
        <x:v>采集行动：时间、产量、XP与价值/小时</x:v>
      </x:c>
      <x:c r="P1" s="3" t="str">
        <x:v>采集行动：时间、产量、XP与价值/小时</x:v>
      </x:c>
      <x:c r="Q1" s="3" t="str">
        <x:v>采集行动：时间、产量、XP与价值/小时</x:v>
      </x:c>
      <x:c r="R1" s="3" t="str">
        <x:v>采集行动：时间、产量、XP与价值/小时</x:v>
      </x:c>
      <x:c r="S1" s="3" t="str">
        <x:v>采集行动：时间、产量、XP与价值/小时</x:v>
      </x:c>
      <x:c r="T1" s="3" t="str">
        <x:v>采集行动：时间、产量、XP与价值/小时</x:v>
      </x:c>
      <x:c r="U1" s="3" t="str">
        <x:v>采集行动：时间、产量、XP与价值/小时</x:v>
      </x:c>
      <x:c r="V1" s="3" t="str">
        <x:v>采集行动：时间、产量、XP与价值/小时</x:v>
      </x:c>
    </x:row>
    <x:row r="2">
      <x:c r="A2" s="7" t="str">
        <x:v>输入区定义行动；计算区统一使用测试技能等级、速度/效率乘区和市场基准价。低阶资源仍被丹药、洞府和淬炼持续消耗。</x:v>
      </x:c>
      <x:c r="B2" s="7" t="str">
        <x:v>输入区定义行动；计算区统一使用测试技能等级、速度/效率乘区和市场基准价。低阶资源仍被丹药、洞府和淬炼持续消耗。</x:v>
      </x:c>
      <x:c r="C2" s="7" t="str">
        <x:v>输入区定义行动；计算区统一使用测试技能等级、速度/效率乘区和市场基准价。低阶资源仍被丹药、洞府和淬炼持续消耗。</x:v>
      </x:c>
      <x:c r="D2" s="7" t="str">
        <x:v>输入区定义行动；计算区统一使用测试技能等级、速度/效率乘区和市场基准价。低阶资源仍被丹药、洞府和淬炼持续消耗。</x:v>
      </x:c>
      <x:c r="E2" s="7" t="str">
        <x:v>输入区定义行动；计算区统一使用测试技能等级、速度/效率乘区和市场基准价。低阶资源仍被丹药、洞府和淬炼持续消耗。</x:v>
      </x:c>
      <x:c r="F2" s="7" t="str">
        <x:v>输入区定义行动；计算区统一使用测试技能等级、速度/效率乘区和市场基准价。低阶资源仍被丹药、洞府和淬炼持续消耗。</x:v>
      </x:c>
      <x:c r="G2" s="7" t="str">
        <x:v>输入区定义行动；计算区统一使用测试技能等级、速度/效率乘区和市场基准价。低阶资源仍被丹药、洞府和淬炼持续消耗。</x:v>
      </x:c>
      <x:c r="H2" s="7" t="str">
        <x:v>输入区定义行动；计算区统一使用测试技能等级、速度/效率乘区和市场基准价。低阶资源仍被丹药、洞府和淬炼持续消耗。</x:v>
      </x:c>
      <x:c r="I2" s="7" t="str">
        <x:v>输入区定义行动；计算区统一使用测试技能等级、速度/效率乘区和市场基准价。低阶资源仍被丹药、洞府和淬炼持续消耗。</x:v>
      </x:c>
      <x:c r="J2" s="7" t="str">
        <x:v>输入区定义行动；计算区统一使用测试技能等级、速度/效率乘区和市场基准价。低阶资源仍被丹药、洞府和淬炼持续消耗。</x:v>
      </x:c>
      <x:c r="K2" s="7" t="str">
        <x:v>输入区定义行动；计算区统一使用测试技能等级、速度/效率乘区和市场基准价。低阶资源仍被丹药、洞府和淬炼持续消耗。</x:v>
      </x:c>
      <x:c r="L2" s="7" t="str">
        <x:v>输入区定义行动；计算区统一使用测试技能等级、速度/效率乘区和市场基准价。低阶资源仍被丹药、洞府和淬炼持续消耗。</x:v>
      </x:c>
      <x:c r="M2" s="7" t="str">
        <x:v>输入区定义行动；计算区统一使用测试技能等级、速度/效率乘区和市场基准价。低阶资源仍被丹药、洞府和淬炼持续消耗。</x:v>
      </x:c>
      <x:c r="N2" s="7" t="str">
        <x:v>输入区定义行动；计算区统一使用测试技能等级、速度/效率乘区和市场基准价。低阶资源仍被丹药、洞府和淬炼持续消耗。</x:v>
      </x:c>
      <x:c r="O2" s="7" t="str">
        <x:v>输入区定义行动；计算区统一使用测试技能等级、速度/效率乘区和市场基准价。低阶资源仍被丹药、洞府和淬炼持续消耗。</x:v>
      </x:c>
      <x:c r="P2" s="7" t="str">
        <x:v>输入区定义行动；计算区统一使用测试技能等级、速度/效率乘区和市场基准价。低阶资源仍被丹药、洞府和淬炼持续消耗。</x:v>
      </x:c>
      <x:c r="Q2" s="7" t="str">
        <x:v>输入区定义行动；计算区统一使用测试技能等级、速度/效率乘区和市场基准价。低阶资源仍被丹药、洞府和淬炼持续消耗。</x:v>
      </x:c>
      <x:c r="R2" s="7" t="str">
        <x:v>输入区定义行动；计算区统一使用测试技能等级、速度/效率乘区和市场基准价。低阶资源仍被丹药、洞府和淬炼持续消耗。</x:v>
      </x:c>
      <x:c r="S2" s="7" t="str">
        <x:v>输入区定义行动；计算区统一使用测试技能等级、速度/效率乘区和市场基准价。低阶资源仍被丹药、洞府和淬炼持续消耗。</x:v>
      </x:c>
      <x:c r="T2" s="7" t="str">
        <x:v>输入区定义行动；计算区统一使用测试技能等级、速度/效率乘区和市场基准价。低阶资源仍被丹药、洞府和淬炼持续消耗。</x:v>
      </x:c>
      <x:c r="U2" s="7" t="str">
        <x:v>输入区定义行动；计算区统一使用测试技能等级、速度/效率乘区和市场基准价。低阶资源仍被丹药、洞府和淬炼持续消耗。</x:v>
      </x:c>
      <x:c r="V2" s="7" t="str">
        <x:v>输入区定义行动；计算区统一使用测试技能等级、速度/效率乘区和市场基准价。低阶资源仍被丹药、洞府和淬炼持续消耗。</x:v>
      </x:c>
    </x:row>
    <x:row r="3">
      <x:c r="A3" s="7" t="str">
        <x:v>输入区定义行动；计算区统一使用测试技能等级、速度/效率乘区和市场基准价。低阶资源仍被丹药、洞府和淬炼持续消耗。</x:v>
      </x:c>
      <x:c r="B3" s="7" t="str">
        <x:v>输入区定义行动；计算区统一使用测试技能等级、速度/效率乘区和市场基准价。低阶资源仍被丹药、洞府和淬炼持续消耗。</x:v>
      </x:c>
      <x:c r="C3" s="7" t="str">
        <x:v>输入区定义行动；计算区统一使用测试技能等级、速度/效率乘区和市场基准价。低阶资源仍被丹药、洞府和淬炼持续消耗。</x:v>
      </x:c>
      <x:c r="D3" s="7" t="str">
        <x:v>输入区定义行动；计算区统一使用测试技能等级、速度/效率乘区和市场基准价。低阶资源仍被丹药、洞府和淬炼持续消耗。</x:v>
      </x:c>
      <x:c r="E3" s="7" t="str">
        <x:v>输入区定义行动；计算区统一使用测试技能等级、速度/效率乘区和市场基准价。低阶资源仍被丹药、洞府和淬炼持续消耗。</x:v>
      </x:c>
      <x:c r="F3" s="7" t="str">
        <x:v>输入区定义行动；计算区统一使用测试技能等级、速度/效率乘区和市场基准价。低阶资源仍被丹药、洞府和淬炼持续消耗。</x:v>
      </x:c>
      <x:c r="G3" s="7" t="str">
        <x:v>输入区定义行动；计算区统一使用测试技能等级、速度/效率乘区和市场基准价。低阶资源仍被丹药、洞府和淬炼持续消耗。</x:v>
      </x:c>
      <x:c r="H3" s="7" t="str">
        <x:v>输入区定义行动；计算区统一使用测试技能等级、速度/效率乘区和市场基准价。低阶资源仍被丹药、洞府和淬炼持续消耗。</x:v>
      </x:c>
      <x:c r="I3" s="7" t="str">
        <x:v>输入区定义行动；计算区统一使用测试技能等级、速度/效率乘区和市场基准价。低阶资源仍被丹药、洞府和淬炼持续消耗。</x:v>
      </x:c>
      <x:c r="J3" s="7" t="str">
        <x:v>输入区定义行动；计算区统一使用测试技能等级、速度/效率乘区和市场基准价。低阶资源仍被丹药、洞府和淬炼持续消耗。</x:v>
      </x:c>
      <x:c r="K3" s="7" t="str">
        <x:v>输入区定义行动；计算区统一使用测试技能等级、速度/效率乘区和市场基准价。低阶资源仍被丹药、洞府和淬炼持续消耗。</x:v>
      </x:c>
      <x:c r="L3" s="7" t="str">
        <x:v>输入区定义行动；计算区统一使用测试技能等级、速度/效率乘区和市场基准价。低阶资源仍被丹药、洞府和淬炼持续消耗。</x:v>
      </x:c>
      <x:c r="M3" s="7" t="str">
        <x:v>输入区定义行动；计算区统一使用测试技能等级、速度/效率乘区和市场基准价。低阶资源仍被丹药、洞府和淬炼持续消耗。</x:v>
      </x:c>
      <x:c r="N3" s="7" t="str">
        <x:v>输入区定义行动；计算区统一使用测试技能等级、速度/效率乘区和市场基准价。低阶资源仍被丹药、洞府和淬炼持续消耗。</x:v>
      </x:c>
      <x:c r="O3" s="7" t="str">
        <x:v>输入区定义行动；计算区统一使用测试技能等级、速度/效率乘区和市场基准价。低阶资源仍被丹药、洞府和淬炼持续消耗。</x:v>
      </x:c>
      <x:c r="P3" s="7" t="str">
        <x:v>输入区定义行动；计算区统一使用测试技能等级、速度/效率乘区和市场基准价。低阶资源仍被丹药、洞府和淬炼持续消耗。</x:v>
      </x:c>
      <x:c r="Q3" s="7" t="str">
        <x:v>输入区定义行动；计算区统一使用测试技能等级、速度/效率乘区和市场基准价。低阶资源仍被丹药、洞府和淬炼持续消耗。</x:v>
      </x:c>
      <x:c r="R3" s="7" t="str">
        <x:v>输入区定义行动；计算区统一使用测试技能等级、速度/效率乘区和市场基准价。低阶资源仍被丹药、洞府和淬炼持续消耗。</x:v>
      </x:c>
      <x:c r="S3" s="7" t="str">
        <x:v>输入区定义行动；计算区统一使用测试技能等级、速度/效率乘区和市场基准价。低阶资源仍被丹药、洞府和淬炼持续消耗。</x:v>
      </x:c>
      <x:c r="T3" s="7" t="str">
        <x:v>输入区定义行动；计算区统一使用测试技能等级、速度/效率乘区和市场基准价。低阶资源仍被丹药、洞府和淬炼持续消耗。</x:v>
      </x:c>
      <x:c r="U3" s="7" t="str">
        <x:v>输入区定义行动；计算区统一使用测试技能等级、速度/效率乘区和市场基准价。低阶资源仍被丹药、洞府和淬炼持续消耗。</x:v>
      </x:c>
      <x:c r="V3" s="7" t="str">
        <x:v>输入区定义行动；计算区统一使用测试技能等级、速度/效率乘区和市场基准价。低阶资源仍被丹药、洞府和淬炼持续消耗。</x:v>
      </x:c>
    </x:row>
    <x:row r="5" ht="28" customHeight="1">
      <x:c r="A5" s="19" t="str">
        <x:v>行动</x:v>
      </x:c>
      <x:c r="B5" s="20" t="str">
        <x:v>技能</x:v>
      </x:c>
      <x:c r="C5" s="20" t="str">
        <x:v>境界</x:v>
      </x:c>
      <x:c r="D5" s="20" t="str">
        <x:v>技能要求</x:v>
      </x:c>
      <x:c r="E5" s="20" t="str">
        <x:v>基础秒数</x:v>
      </x:c>
      <x:c r="F5" s="20" t="str">
        <x:v>主产物</x:v>
      </x:c>
      <x:c r="G5" s="20" t="str">
        <x:v>基础产量</x:v>
      </x:c>
      <x:c r="H5" s="20" t="str">
        <x:v>行动XP</x:v>
      </x:c>
      <x:c r="I5" s="20" t="str">
        <x:v>稀有产物</x:v>
      </x:c>
      <x:c r="J5" s="20" t="str">
        <x:v>基础稀有率</x:v>
      </x:c>
      <x:c r="K5" s="20" t="str">
        <x:v>稀有数量</x:v>
      </x:c>
      <x:c r="L5" s="20" t="str">
        <x:v>范围</x:v>
      </x:c>
      <x:c r="M5" s="20" t="str">
        <x:v>技能速度</x:v>
      </x:c>
      <x:c r="N5" s="20" t="str">
        <x:v>技能效率</x:v>
      </x:c>
      <x:c r="O5" s="20" t="str">
        <x:v>行动/小时</x:v>
      </x:c>
      <x:c r="P5" s="20" t="str">
        <x:v>主产物/小时</x:v>
      </x:c>
      <x:c r="Q5" s="20" t="str">
        <x:v>稀有/小时</x:v>
      </x:c>
      <x:c r="R5" s="20" t="str">
        <x:v>XP/小时</x:v>
      </x:c>
      <x:c r="S5" s="20" t="str">
        <x:v>主产物单价</x:v>
      </x:c>
      <x:c r="T5" s="20" t="str">
        <x:v>稀有单价</x:v>
      </x:c>
      <x:c r="U5" s="20" t="str">
        <x:v>总价值/小时</x:v>
      </x:c>
      <x:c r="V5" s="21" t="str">
        <x:v>价值指数</x:v>
      </x:c>
    </x:row>
    <x:row r="6">
      <x:c r="A6" s="29" t="str">
        <x:v>百草谷采药</x:v>
      </x:c>
      <x:c r="B6" s="29" t="str">
        <x:v>采药</x:v>
      </x:c>
      <x:c r="C6" s="29" t="str">
        <x:v>凡人</x:v>
      </x:c>
      <x:c r="D6" s="29" t="n">
        <x:v>1</x:v>
      </x:c>
      <x:c r="E6" s="29" t="n">
        <x:v>100</x:v>
      </x:c>
      <x:c r="F6" s="29" t="str">
        <x:v>青灵草</x:v>
      </x:c>
      <x:c r="G6" s="29" t="n">
        <x:v>1</x:v>
      </x:c>
      <x:c r="H6" s="29" t="n">
        <x:v>4</x:v>
      </x:c>
      <x:c r="I6" s="29" t="str">
        <x:v>凝露花</x:v>
      </x:c>
      <x:c r="J6" s="64" t="n">
        <x:v>0.02</x:v>
      </x:c>
      <x:c r="K6" s="29" t="n">
        <x:v>1</x:v>
      </x:c>
      <x:c r="L6" s="29" t="str">
        <x:v>MVP</x:v>
      </x:c>
      <x:c r="M6" s="61" t="n">
        <x:f>MIN('01_核心假设'!$B$22*'01_核心假设'!$B$18,'01_核心假设'!$B$20)</x:f>
        <x:v>0.08</x:v>
      </x:c>
      <x:c r="N6" s="61" t="n">
        <x:f>MIN('01_核心假设'!$B$22*'01_核心假设'!$B$19,'01_核心假设'!$B$21)</x:f>
        <x:v>0.12</x:v>
      </x:c>
      <x:c r="O6" s="39" t="n">
        <x:f>'01_核心假设'!$B$6/(E6/(1+M6))</x:f>
        <x:v>38.88</x:v>
      </x:c>
      <x:c r="P6" s="39" t="n">
        <x:f>O6*G6*(1+N6)</x:f>
        <x:v>43.54560000000001</x:v>
      </x:c>
      <x:c r="Q6" s="39" t="n">
        <x:f>O6*J6*(1+'01_核心假设'!$B$23)*K6</x:f>
        <x:v>0.7853760000000001</x:v>
      </x:c>
      <x:c r="R6" s="39" t="n">
        <x:f>O6*H6</x:f>
        <x:v>155.52</x:v>
      </x:c>
      <x:c r="S6" s="39" t="n">
        <x:f>IF(F6="",0,IFERROR(VLOOKUP(F6,'14_市场基准价'!$A$6:$J$80,4,FALSE),0))</x:f>
        <x:v>2</x:v>
      </x:c>
      <x:c r="T6" s="39" t="n">
        <x:f>IF(I6="",0,IFERROR(VLOOKUP(I6,'14_市场基准价'!$A$6:$J$80,4,FALSE),0))</x:f>
        <x:v>8</x:v>
      </x:c>
      <x:c r="U6" s="39" t="n">
        <x:f>P6*S6+Q6*T6</x:f>
        <x:v>93.37420800000001</x:v>
      </x:c>
      <x:c r="V6" s="67" t="n">
        <x:f>U6/'01_核心假设'!$B$14</x:f>
        <x:v>0.9337420800000001</x:v>
      </x:c>
    </x:row>
    <x:row r="7">
      <x:c r="A7" s="30" t="str">
        <x:v>雾隐坡采药</x:v>
      </x:c>
      <x:c r="B7" s="30" t="str">
        <x:v>采药</x:v>
      </x:c>
      <x:c r="C7" s="30" t="str">
        <x:v>炼气</x:v>
      </x:c>
      <x:c r="D7" s="30" t="n">
        <x:v>10</x:v>
      </x:c>
      <x:c r="E7" s="30" t="n">
        <x:v>140</x:v>
      </x:c>
      <x:c r="F7" s="30" t="str">
        <x:v>凝露花</x:v>
      </x:c>
      <x:c r="G7" s="30" t="n">
        <x:v>1</x:v>
      </x:c>
      <x:c r="H7" s="30" t="n">
        <x:v>7</x:v>
      </x:c>
      <x:c r="I7" s="30" t="str">
        <x:v>紫叶兰</x:v>
      </x:c>
      <x:c r="J7" s="65" t="n">
        <x:v>0.015</x:v>
      </x:c>
      <x:c r="K7" s="30" t="n">
        <x:v>1</x:v>
      </x:c>
      <x:c r="L7" s="30" t="str">
        <x:v>MVP</x:v>
      </x:c>
      <x:c r="M7" s="62" t="n">
        <x:f>MIN('01_核心假设'!$B$22*'01_核心假设'!$B$18,'01_核心假设'!$B$20)</x:f>
        <x:v>0.08</x:v>
      </x:c>
      <x:c r="N7" s="62" t="n">
        <x:f>MIN('01_核心假设'!$B$22*'01_核心假设'!$B$19,'01_核心假设'!$B$21)</x:f>
        <x:v>0.12</x:v>
      </x:c>
      <x:c r="O7" s="41" t="n">
        <x:f>'01_核心假设'!$B$6/(E7/(1+M7))</x:f>
        <x:v>27.771428571428572</x:v>
      </x:c>
      <x:c r="P7" s="41" t="n">
        <x:f>O7*G7*(1+N7)</x:f>
        <x:v>31.104000000000003</x:v>
      </x:c>
      <x:c r="Q7" s="41" t="n">
        <x:f>O7*J7*(1+'01_核心假设'!$B$23)*K7</x:f>
        <x:v>0.42073714285714287</x:v>
      </x:c>
      <x:c r="R7" s="41" t="n">
        <x:f>O7*H7</x:f>
        <x:v>194.4</x:v>
      </x:c>
      <x:c r="S7" s="41" t="n">
        <x:f>IF(F7="",0,IFERROR(VLOOKUP(F7,'14_市场基准价'!$A$6:$J$80,4,FALSE),0))</x:f>
        <x:v>8</x:v>
      </x:c>
      <x:c r="T7" s="41" t="n">
        <x:f>IF(I7="",0,IFERROR(VLOOKUP(I7,'14_市场基准价'!$A$6:$J$80,4,FALSE),0))</x:f>
        <x:v>18</x:v>
      </x:c>
      <x:c r="U7" s="41" t="n">
        <x:f>P7*S7+Q7*T7</x:f>
        <x:v>256.4052685714286</x:v>
      </x:c>
      <x:c r="V7" s="68" t="n">
        <x:f>U7/'01_核心假设'!$B$14</x:f>
        <x:v>2.564052685714286</x:v>
      </x:c>
    </x:row>
    <x:row r="8">
      <x:c r="A8" s="30" t="str">
        <x:v>灵泉谷采药</x:v>
      </x:c>
      <x:c r="B8" s="30" t="str">
        <x:v>采药</x:v>
      </x:c>
      <x:c r="C8" s="30" t="str">
        <x:v>炼气</x:v>
      </x:c>
      <x:c r="D8" s="30" t="n">
        <x:v>20</x:v>
      </x:c>
      <x:c r="E8" s="30" t="n">
        <x:v>190</x:v>
      </x:c>
      <x:c r="F8" s="30" t="str">
        <x:v>紫叶兰</x:v>
      </x:c>
      <x:c r="G8" s="30" t="n">
        <x:v>1</x:v>
      </x:c>
      <x:c r="H8" s="30" t="n">
        <x:v>11</x:v>
      </x:c>
      <x:c r="I8" s="30" t="str">
        <x:v>地脉参</x:v>
      </x:c>
      <x:c r="J8" s="65" t="n">
        <x:v>0.01</x:v>
      </x:c>
      <x:c r="K8" s="30" t="n">
        <x:v>1</x:v>
      </x:c>
      <x:c r="L8" s="30" t="str">
        <x:v>MVP</x:v>
      </x:c>
      <x:c r="M8" s="62" t="n">
        <x:f>MIN('01_核心假设'!$B$22*'01_核心假设'!$B$18,'01_核心假设'!$B$20)</x:f>
        <x:v>0.08</x:v>
      </x:c>
      <x:c r="N8" s="62" t="n">
        <x:f>MIN('01_核心假设'!$B$22*'01_核心假设'!$B$19,'01_核心假设'!$B$21)</x:f>
        <x:v>0.12</x:v>
      </x:c>
      <x:c r="O8" s="41" t="n">
        <x:f>'01_核心假设'!$B$6/(E8/(1+M8))</x:f>
        <x:v>20.46315789473684</x:v>
      </x:c>
      <x:c r="P8" s="41" t="n">
        <x:f>O8*G8*(1+N8)</x:f>
        <x:v>22.918736842105265</x:v>
      </x:c>
      <x:c r="Q8" s="41" t="n">
        <x:f>O8*J8*(1+'01_核心假设'!$B$23)*K8</x:f>
        <x:v>0.2066778947368421</x:v>
      </x:c>
      <x:c r="R8" s="41" t="n">
        <x:f>O8*H8</x:f>
        <x:v>225.09473684210525</x:v>
      </x:c>
      <x:c r="S8" s="41" t="n">
        <x:f>IF(F8="",0,IFERROR(VLOOKUP(F8,'14_市场基准价'!$A$6:$J$80,4,FALSE),0))</x:f>
        <x:v>18</x:v>
      </x:c>
      <x:c r="T8" s="41" t="n">
        <x:f>IF(I8="",0,IFERROR(VLOOKUP(I8,'14_市场基准价'!$A$6:$J$80,4,FALSE),0))</x:f>
        <x:v>45</x:v>
      </x:c>
      <x:c r="U8" s="41" t="n">
        <x:f>P8*S8+Q8*T8</x:f>
        <x:v>421.83776842105266</x:v>
      </x:c>
      <x:c r="V8" s="68" t="n">
        <x:f>U8/'01_核心假设'!$B$14</x:f>
        <x:v>4.218377684210527</x:v>
      </x:c>
    </x:row>
    <x:row r="9">
      <x:c r="A9" s="30" t="str">
        <x:v>筑基药园</x:v>
      </x:c>
      <x:c r="B9" s="30" t="str">
        <x:v>采药</x:v>
      </x:c>
      <x:c r="C9" s="30" t="str">
        <x:v>筑基</x:v>
      </x:c>
      <x:c r="D9" s="30" t="n">
        <x:v>35</x:v>
      </x:c>
      <x:c r="E9" s="30" t="n">
        <x:v>260</x:v>
      </x:c>
      <x:c r="F9" s="30" t="str">
        <x:v>地脉参</x:v>
      </x:c>
      <x:c r="G9" s="30" t="n">
        <x:v>1</x:v>
      </x:c>
      <x:c r="H9" s="30" t="n">
        <x:v>18</x:v>
      </x:c>
      <x:c r="I9" s="30" t="str">
        <x:v>灵髓</x:v>
      </x:c>
      <x:c r="J9" s="65" t="n">
        <x:v>0.008</x:v>
      </x:c>
      <x:c r="K9" s="30" t="n">
        <x:v>1</x:v>
      </x:c>
      <x:c r="L9" s="30" t="str">
        <x:v>MVP Endgame</x:v>
      </x:c>
      <x:c r="M9" s="62" t="n">
        <x:f>MIN('01_核心假设'!$B$22*'01_核心假设'!$B$18,'01_核心假设'!$B$20)</x:f>
        <x:v>0.08</x:v>
      </x:c>
      <x:c r="N9" s="62" t="n">
        <x:f>MIN('01_核心假设'!$B$22*'01_核心假设'!$B$19,'01_核心假设'!$B$21)</x:f>
        <x:v>0.12</x:v>
      </x:c>
      <x:c r="O9" s="41" t="n">
        <x:f>'01_核心假设'!$B$6/(E9/(1+M9))</x:f>
        <x:v>14.953846153846154</x:v>
      </x:c>
      <x:c r="P9" s="41" t="n">
        <x:f>O9*G9*(1+N9)</x:f>
        <x:v>16.748307692307694</x:v>
      </x:c>
      <x:c r="Q9" s="41" t="n">
        <x:f>O9*J9*(1+'01_核心假设'!$B$23)*K9</x:f>
        <x:v>0.12082707692307693</x:v>
      </x:c>
      <x:c r="R9" s="41" t="n">
        <x:f>O9*H9</x:f>
        <x:v>269.16923076923075</x:v>
      </x:c>
      <x:c r="S9" s="41" t="n">
        <x:f>IF(F9="",0,IFERROR(VLOOKUP(F9,'14_市场基准价'!$A$6:$J$80,4,FALSE),0))</x:f>
        <x:v>45</x:v>
      </x:c>
      <x:c r="T9" s="41" t="n">
        <x:f>IF(I9="",0,IFERROR(VLOOKUP(I9,'14_市场基准价'!$A$6:$J$80,4,FALSE),0))</x:f>
        <x:v>120</x:v>
      </x:c>
      <x:c r="U9" s="41" t="n">
        <x:f>P9*S9+Q9*T9</x:f>
        <x:v>768.1730953846155</x:v>
      </x:c>
      <x:c r="V9" s="68" t="n">
        <x:f>U9/'01_核心假设'!$B$14</x:f>
        <x:v>7.681730953846155</x:v>
      </x:c>
    </x:row>
    <x:row r="10">
      <x:c r="A10" s="30" t="str">
        <x:v>赤铜浅矿</x:v>
      </x:c>
      <x:c r="B10" s="30" t="str">
        <x:v>挖矿</x:v>
      </x:c>
      <x:c r="C10" s="30" t="str">
        <x:v>炼气</x:v>
      </x:c>
      <x:c r="D10" s="30" t="n">
        <x:v>1</x:v>
      </x:c>
      <x:c r="E10" s="30" t="n">
        <x:v>120</x:v>
      </x:c>
      <x:c r="F10" s="30" t="str">
        <x:v>赤铜矿</x:v>
      </x:c>
      <x:c r="G10" s="30" t="n">
        <x:v>1</x:v>
      </x:c>
      <x:c r="H10" s="30" t="n">
        <x:v>5</x:v>
      </x:c>
      <x:c r="I10" s="30" t="str">
        <x:v>玄铁矿</x:v>
      </x:c>
      <x:c r="J10" s="65" t="n">
        <x:v>0.018</x:v>
      </x:c>
      <x:c r="K10" s="30" t="n">
        <x:v>1</x:v>
      </x:c>
      <x:c r="L10" s="30" t="str">
        <x:v>MVP</x:v>
      </x:c>
      <x:c r="M10" s="62" t="n">
        <x:f>MIN('01_核心假设'!$B$22*'01_核心假设'!$B$18,'01_核心假设'!$B$20)</x:f>
        <x:v>0.08</x:v>
      </x:c>
      <x:c r="N10" s="62" t="n">
        <x:f>MIN('01_核心假设'!$B$22*'01_核心假设'!$B$19,'01_核心假设'!$B$21)</x:f>
        <x:v>0.12</x:v>
      </x:c>
      <x:c r="O10" s="41" t="n">
        <x:f>'01_核心假设'!$B$6/(E10/(1+M10))</x:f>
        <x:v>32.400000000000006</x:v>
      </x:c>
      <x:c r="P10" s="41" t="n">
        <x:f>O10*G10*(1+N10)</x:f>
        <x:v>36.28800000000001</x:v>
      </x:c>
      <x:c r="Q10" s="41" t="n">
        <x:f>O10*J10*(1+'01_核心假设'!$B$23)*K10</x:f>
        <x:v>0.5890320000000001</x:v>
      </x:c>
      <x:c r="R10" s="41" t="n">
        <x:f>O10*H10</x:f>
        <x:v>162.00000000000003</x:v>
      </x:c>
      <x:c r="S10" s="41" t="n">
        <x:f>IF(F10="",0,IFERROR(VLOOKUP(F10,'14_市场基准价'!$A$6:$J$80,4,FALSE),0))</x:f>
        <x:v>3</x:v>
      </x:c>
      <x:c r="T10" s="41" t="n">
        <x:f>IF(I10="",0,IFERROR(VLOOKUP(I10,'14_市场基准价'!$A$6:$J$80,4,FALSE),0))</x:f>
        <x:v>12</x:v>
      </x:c>
      <x:c r="U10" s="41" t="n">
        <x:f>P10*S10+Q10*T10</x:f>
        <x:v>115.93238400000004</x:v>
      </x:c>
      <x:c r="V10" s="68" t="n">
        <x:f>U10/'01_核心假设'!$B$14</x:f>
        <x:v>1.1593238400000003</x:v>
      </x:c>
    </x:row>
    <x:row r="11">
      <x:c r="A11" s="30" t="str">
        <x:v>玄铁岭</x:v>
      </x:c>
      <x:c r="B11" s="30" t="str">
        <x:v>挖矿</x:v>
      </x:c>
      <x:c r="C11" s="30" t="str">
        <x:v>炼气</x:v>
      </x:c>
      <x:c r="D11" s="30" t="n">
        <x:v>10</x:v>
      </x:c>
      <x:c r="E11" s="30" t="n">
        <x:v>170</x:v>
      </x:c>
      <x:c r="F11" s="30" t="str">
        <x:v>玄铁矿</x:v>
      </x:c>
      <x:c r="G11" s="30" t="n">
        <x:v>1</x:v>
      </x:c>
      <x:c r="H11" s="30" t="n">
        <x:v>8</x:v>
      </x:c>
      <x:c r="I11" s="30" t="str">
        <x:v>星纹钢</x:v>
      </x:c>
      <x:c r="J11" s="65" t="n">
        <x:v>0.012</x:v>
      </x:c>
      <x:c r="K11" s="30" t="n">
        <x:v>1</x:v>
      </x:c>
      <x:c r="L11" s="30" t="str">
        <x:v>MVP</x:v>
      </x:c>
      <x:c r="M11" s="62" t="n">
        <x:f>MIN('01_核心假设'!$B$22*'01_核心假设'!$B$18,'01_核心假设'!$B$20)</x:f>
        <x:v>0.08</x:v>
      </x:c>
      <x:c r="N11" s="62" t="n">
        <x:f>MIN('01_核心假设'!$B$22*'01_核心假设'!$B$19,'01_核心假设'!$B$21)</x:f>
        <x:v>0.12</x:v>
      </x:c>
      <x:c r="O11" s="41" t="n">
        <x:f>'01_核心假设'!$B$6/(E11/(1+M11))</x:f>
        <x:v>22.87058823529412</x:v>
      </x:c>
      <x:c r="P11" s="41" t="n">
        <x:f>O11*G11*(1+N11)</x:f>
        <x:v>25.61505882352942</x:v>
      </x:c>
      <x:c r="Q11" s="41" t="n">
        <x:f>O11*J11*(1+'01_核心假设'!$B$23)*K11</x:f>
        <x:v>0.2771915294117648</x:v>
      </x:c>
      <x:c r="R11" s="41" t="n">
        <x:f>O11*H11</x:f>
        <x:v>182.96470588235297</x:v>
      </x:c>
      <x:c r="S11" s="41" t="n">
        <x:f>IF(F11="",0,IFERROR(VLOOKUP(F11,'14_市场基准价'!$A$6:$J$80,4,FALSE),0))</x:f>
        <x:v>12</x:v>
      </x:c>
      <x:c r="T11" s="41" t="n">
        <x:f>IF(I11="",0,IFERROR(VLOOKUP(I11,'14_市场基准价'!$A$6:$J$80,4,FALSE),0))</x:f>
        <x:v>35</x:v>
      </x:c>
      <x:c r="U11" s="41" t="n">
        <x:f>P11*S11+Q11*T11</x:f>
        <x:v>317.0824094117648</x:v>
      </x:c>
      <x:c r="V11" s="68" t="n">
        <x:f>U11/'01_核心假设'!$B$14</x:f>
        <x:v>3.170824094117648</x:v>
      </x:c>
    </x:row>
    <x:row r="12">
      <x:c r="A12" s="30" t="str">
        <x:v>星落矿坑</x:v>
      </x:c>
      <x:c r="B12" s="30" t="str">
        <x:v>挖矿</x:v>
      </x:c>
      <x:c r="C12" s="30" t="str">
        <x:v>炼气</x:v>
      </x:c>
      <x:c r="D12" s="30" t="n">
        <x:v>20</x:v>
      </x:c>
      <x:c r="E12" s="30" t="n">
        <x:v>225</x:v>
      </x:c>
      <x:c r="F12" s="30" t="str">
        <x:v>星纹钢</x:v>
      </x:c>
      <x:c r="G12" s="30" t="n">
        <x:v>1</x:v>
      </x:c>
      <x:c r="H12" s="30" t="n">
        <x:v>13</x:v>
      </x:c>
      <x:c r="I12" s="30" t="str">
        <x:v>灵玉矿</x:v>
      </x:c>
      <x:c r="J12" s="65" t="n">
        <x:v>0.008</x:v>
      </x:c>
      <x:c r="K12" s="30" t="n">
        <x:v>1</x:v>
      </x:c>
      <x:c r="L12" s="30" t="str">
        <x:v>MVP</x:v>
      </x:c>
      <x:c r="M12" s="62" t="n">
        <x:f>MIN('01_核心假设'!$B$22*'01_核心假设'!$B$18,'01_核心假设'!$B$20)</x:f>
        <x:v>0.08</x:v>
      </x:c>
      <x:c r="N12" s="62" t="n">
        <x:f>MIN('01_核心假设'!$B$22*'01_核心假设'!$B$19,'01_核心假设'!$B$21)</x:f>
        <x:v>0.12</x:v>
      </x:c>
      <x:c r="O12" s="41" t="n">
        <x:f>'01_核心假设'!$B$6/(E12/(1+M12))</x:f>
        <x:v>17.28</x:v>
      </x:c>
      <x:c r="P12" s="41" t="n">
        <x:f>O12*G12*(1+N12)</x:f>
        <x:v>19.353600000000004</x:v>
      </x:c>
      <x:c r="Q12" s="41" t="n">
        <x:f>O12*J12*(1+'01_核心假设'!$B$23)*K12</x:f>
        <x:v>0.1396224</x:v>
      </x:c>
      <x:c r="R12" s="41" t="n">
        <x:f>O12*H12</x:f>
        <x:v>224.64000000000001</x:v>
      </x:c>
      <x:c r="S12" s="41" t="n">
        <x:f>IF(F12="",0,IFERROR(VLOOKUP(F12,'14_市场基准价'!$A$6:$J$80,4,FALSE),0))</x:f>
        <x:v>35</x:v>
      </x:c>
      <x:c r="T12" s="41" t="n">
        <x:f>IF(I12="",0,IFERROR(VLOOKUP(I12,'14_市场基准价'!$A$6:$J$80,4,FALSE),0))</x:f>
        <x:v>80</x:v>
      </x:c>
      <x:c r="U12" s="41" t="n">
        <x:f>P12*S12+Q12*T12</x:f>
        <x:v>688.5457920000001</x:v>
      </x:c>
      <x:c r="V12" s="68" t="n">
        <x:f>U12/'01_核心假设'!$B$14</x:f>
        <x:v>6.885457920000001</x:v>
      </x:c>
    </x:row>
    <x:row r="13">
      <x:c r="A13" s="30" t="str">
        <x:v>筑基地脉</x:v>
      </x:c>
      <x:c r="B13" s="30" t="str">
        <x:v>挖矿</x:v>
      </x:c>
      <x:c r="C13" s="30" t="str">
        <x:v>筑基</x:v>
      </x:c>
      <x:c r="D13" s="30" t="n">
        <x:v>35</x:v>
      </x:c>
      <x:c r="E13" s="30" t="n">
        <x:v>300</x:v>
      </x:c>
      <x:c r="F13" s="30" t="str">
        <x:v>灵玉矿</x:v>
      </x:c>
      <x:c r="G13" s="30" t="n">
        <x:v>1</x:v>
      </x:c>
      <x:c r="H13" s="30" t="n">
        <x:v>22</x:v>
      </x:c>
      <x:c r="I13" s="30" t="str">
        <x:v>黑风晶</x:v>
      </x:c>
      <x:c r="J13" s="65" t="n">
        <x:v>0.005</x:v>
      </x:c>
      <x:c r="K13" s="30" t="n">
        <x:v>1</x:v>
      </x:c>
      <x:c r="L13" s="30" t="str">
        <x:v>MVP Endgame</x:v>
      </x:c>
      <x:c r="M13" s="62" t="n">
        <x:f>MIN('01_核心假设'!$B$22*'01_核心假设'!$B$18,'01_核心假设'!$B$20)</x:f>
        <x:v>0.08</x:v>
      </x:c>
      <x:c r="N13" s="62" t="n">
        <x:f>MIN('01_核心假设'!$B$22*'01_核心假设'!$B$19,'01_核心假设'!$B$21)</x:f>
        <x:v>0.12</x:v>
      </x:c>
      <x:c r="O13" s="41" t="n">
        <x:f>'01_核心假设'!$B$6/(E13/(1+M13))</x:f>
        <x:v>12.96</x:v>
      </x:c>
      <x:c r="P13" s="41" t="n">
        <x:f>O13*G13*(1+N13)</x:f>
        <x:v>14.515200000000002</x:v>
      </x:c>
      <x:c r="Q13" s="41" t="n">
        <x:f>O13*J13*(1+'01_核心假设'!$B$23)*K13</x:f>
        <x:v>0.065448</x:v>
      </x:c>
      <x:c r="R13" s="41" t="n">
        <x:f>O13*H13</x:f>
        <x:v>285.12</x:v>
      </x:c>
      <x:c r="S13" s="41" t="n">
        <x:f>IF(F13="",0,IFERROR(VLOOKUP(F13,'14_市场基准价'!$A$6:$J$80,4,FALSE),0))</x:f>
        <x:v>80</x:v>
      </x:c>
      <x:c r="T13" s="41" t="n">
        <x:f>IF(I13="",0,IFERROR(VLOOKUP(I13,'14_市场基准价'!$A$6:$J$80,4,FALSE),0))</x:f>
        <x:v>260</x:v>
      </x:c>
      <x:c r="U13" s="41" t="n">
        <x:f>P13*S13+Q13*T13</x:f>
        <x:v>1178.2324800000001</x:v>
      </x:c>
      <x:c r="V13" s="68" t="n">
        <x:f>U13/'01_核心假设'!$B$14</x:f>
        <x:v>11.782324800000001</x:v>
      </x:c>
    </x:row>
    <x:row r="14">
      <x:c r="A14" s="30" t="str">
        <x:v>青竹林</x:v>
      </x:c>
      <x:c r="B14" s="30" t="str">
        <x:v>伐灵木</x:v>
      </x:c>
      <x:c r="C14" s="30" t="str">
        <x:v>炼气</x:v>
      </x:c>
      <x:c r="D14" s="30" t="n">
        <x:v>1</x:v>
      </x:c>
      <x:c r="E14" s="30" t="n">
        <x:v>110</x:v>
      </x:c>
      <x:c r="F14" s="30" t="str">
        <x:v>青竹</x:v>
      </x:c>
      <x:c r="G14" s="30" t="n">
        <x:v>1</x:v>
      </x:c>
      <x:c r="H14" s="30" t="n">
        <x:v>5</x:v>
      </x:c>
      <x:c r="I14" s="30" t="str">
        <x:v>铁木</x:v>
      </x:c>
      <x:c r="J14" s="65" t="n">
        <x:v>0.012</x:v>
      </x:c>
      <x:c r="K14" s="30" t="n">
        <x:v>1</x:v>
      </x:c>
      <x:c r="L14" s="30" t="str">
        <x:v>第二阶段</x:v>
      </x:c>
      <x:c r="M14" s="62" t="n">
        <x:f>MIN('01_核心假设'!$B$22*'01_核心假设'!$B$18,'01_核心假设'!$B$20)</x:f>
        <x:v>0.08</x:v>
      </x:c>
      <x:c r="N14" s="62" t="n">
        <x:f>MIN('01_核心假设'!$B$22*'01_核心假设'!$B$19,'01_核心假设'!$B$21)</x:f>
        <x:v>0.12</x:v>
      </x:c>
      <x:c r="O14" s="41" t="n">
        <x:f>'01_核心假设'!$B$6/(E14/(1+M14))</x:f>
        <x:v>35.345454545454544</x:v>
      </x:c>
      <x:c r="P14" s="41" t="n">
        <x:f>O14*G14*(1+N14)</x:f>
        <x:v>39.586909090909096</x:v>
      </x:c>
      <x:c r="Q14" s="41" t="n">
        <x:f>O14*J14*(1+'01_核心假设'!$B$23)*K14</x:f>
        <x:v>0.4283869090909091</x:v>
      </x:c>
      <x:c r="R14" s="41" t="n">
        <x:f>O14*H14</x:f>
        <x:v>176.72727272727272</x:v>
      </x:c>
      <x:c r="S14" s="41" t="n">
        <x:f>IF(F14="",0,IFERROR(VLOOKUP(F14,'14_市场基准价'!$A$6:$J$80,4,FALSE),0))</x:f>
        <x:v>2</x:v>
      </x:c>
      <x:c r="T14" s="41" t="n">
        <x:f>IF(I14="",0,IFERROR(VLOOKUP(I14,'14_市场基准价'!$A$6:$J$80,4,FALSE),0))</x:f>
        <x:v>10</x:v>
      </x:c>
      <x:c r="U14" s="41" t="n">
        <x:f>P14*S14+Q14*T14</x:f>
        <x:v>83.45768727272728</x:v>
      </x:c>
      <x:c r="V14" s="68" t="n">
        <x:f>U14/'01_核心假设'!$B$14</x:f>
        <x:v>0.8345768727272729</x:v>
      </x:c>
    </x:row>
    <x:row r="15">
      <x:c r="A15" s="31" t="str">
        <x:v>铁木谷</x:v>
      </x:c>
      <x:c r="B15" s="31" t="str">
        <x:v>伐灵木</x:v>
      </x:c>
      <x:c r="C15" s="31" t="str">
        <x:v>筑基</x:v>
      </x:c>
      <x:c r="D15" s="31" t="n">
        <x:v>20</x:v>
      </x:c>
      <x:c r="E15" s="31" t="n">
        <x:v>210</x:v>
      </x:c>
      <x:c r="F15" s="31" t="str">
        <x:v>铁木</x:v>
      </x:c>
      <x:c r="G15" s="31" t="n">
        <x:v>1</x:v>
      </x:c>
      <x:c r="H15" s="31" t="n">
        <x:v>12</x:v>
      </x:c>
      <x:c r="I15" s="31" t="str">
        <x:v>地脉参</x:v>
      </x:c>
      <x:c r="J15" s="66" t="n">
        <x:v>0.005</x:v>
      </x:c>
      <x:c r="K15" s="31" t="n">
        <x:v>1</x:v>
      </x:c>
      <x:c r="L15" s="31" t="str">
        <x:v>扩展锚点</x:v>
      </x:c>
      <x:c r="M15" s="63" t="n">
        <x:f>MIN('01_核心假设'!$B$22*'01_核心假设'!$B$18,'01_核心假设'!$B$20)</x:f>
        <x:v>0.08</x:v>
      </x:c>
      <x:c r="N15" s="63" t="n">
        <x:f>MIN('01_核心假设'!$B$22*'01_核心假设'!$B$19,'01_核心假设'!$B$21)</x:f>
        <x:v>0.12</x:v>
      </x:c>
      <x:c r="O15" s="43" t="n">
        <x:f>'01_核心假设'!$B$6/(E15/(1+M15))</x:f>
        <x:v>18.514285714285716</x:v>
      </x:c>
      <x:c r="P15" s="43" t="n">
        <x:f>O15*G15*(1+N15)</x:f>
        <x:v>20.736000000000004</x:v>
      </x:c>
      <x:c r="Q15" s="43" t="n">
        <x:f>O15*J15*(1+'01_核心假设'!$B$23)*K15</x:f>
        <x:v>0.09349714285714286</x:v>
      </x:c>
      <x:c r="R15" s="43" t="n">
        <x:f>O15*H15</x:f>
        <x:v>222.17142857142858</x:v>
      </x:c>
      <x:c r="S15" s="43" t="n">
        <x:f>IF(F15="",0,IFERROR(VLOOKUP(F15,'14_市场基准价'!$A$6:$J$80,4,FALSE),0))</x:f>
        <x:v>10</x:v>
      </x:c>
      <x:c r="T15" s="43" t="n">
        <x:f>IF(I15="",0,IFERROR(VLOOKUP(I15,'14_市场基准价'!$A$6:$J$80,4,FALSE),0))</x:f>
        <x:v>45</x:v>
      </x:c>
      <x:c r="U15" s="43" t="n">
        <x:f>P15*S15+Q15*T15</x:f>
        <x:v>211.56737142857148</x:v>
      </x:c>
      <x:c r="V15" s="69" t="n">
        <x:f>U15/'01_核心假设'!$B$14</x:f>
        <x:v>2.1156737142857147</x:v>
      </x:c>
    </x:row>
  </x:sheetData>
  <x:mergeCells>
    <x:mergeCell ref="A1:V1"/>
    <x:mergeCell ref="A2:V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9" hidden="0" customWidth="1"/>
    <x:col min="4" max="4" width="13" hidden="0" customWidth="1"/>
    <x:col min="5" max="5" width="9" hidden="0" customWidth="1"/>
    <x:col min="6" max="6" width="13" hidden="0" customWidth="1"/>
    <x:col min="7" max="7" width="9" hidden="0" customWidth="1"/>
    <x:col min="8" max="8" width="13" hidden="0" customWidth="1"/>
    <x:col min="9" max="9" width="9" hidden="0" customWidth="1"/>
    <x:col min="10" max="10" width="11" hidden="0" customWidth="1"/>
    <x:col min="11" max="11" width="11" hidden="0" customWidth="1"/>
    <x:col min="12" max="12" width="10" hidden="0" customWidth="1"/>
    <x:col min="13" max="13" width="19" hidden="0" customWidth="1"/>
    <x:col min="14" max="14" width="12" hidden="0" customWidth="1"/>
    <x:col min="15" max="15" width="9" hidden="0" customWidth="1"/>
    <x:col min="16" max="16" width="14" hidden="0" customWidth="1"/>
    <x:col min="17" max="17" width="14" hidden="0" customWidth="1"/>
    <x:col min="18" max="18" width="11" hidden="0" customWidth="1"/>
    <x:col min="19" max="19" width="11" hidden="0" customWidth="1"/>
    <x:col min="20" max="20" width="13" hidden="0" customWidth="1"/>
    <x:col min="21" max="21" width="13" hidden="0" customWidth="1"/>
    <x:col min="22" max="22" width="16" hidden="0" customWidth="1"/>
    <x:col min="23" max="23" width="14" hidden="0" customWidth="1"/>
  </x:cols>
  <x:sheetData>
    <x:row r="1" ht="30" customHeight="1">
      <x:c r="A1" s="3" t="str">
        <x:v>炼丹配方、持续消耗与利润/小时</x:v>
      </x:c>
      <x:c r="B1" s="3" t="str">
        <x:v>炼丹配方、持续消耗与利润/小时</x:v>
      </x:c>
      <x:c r="C1" s="3" t="str">
        <x:v>炼丹配方、持续消耗与利润/小时</x:v>
      </x:c>
      <x:c r="D1" s="3" t="str">
        <x:v>炼丹配方、持续消耗与利润/小时</x:v>
      </x:c>
      <x:c r="E1" s="3" t="str">
        <x:v>炼丹配方、持续消耗与利润/小时</x:v>
      </x:c>
      <x:c r="F1" s="3" t="str">
        <x:v>炼丹配方、持续消耗与利润/小时</x:v>
      </x:c>
      <x:c r="G1" s="3" t="str">
        <x:v>炼丹配方、持续消耗与利润/小时</x:v>
      </x:c>
      <x:c r="H1" s="3" t="str">
        <x:v>炼丹配方、持续消耗与利润/小时</x:v>
      </x:c>
      <x:c r="I1" s="3" t="str">
        <x:v>炼丹配方、持续消耗与利润/小时</x:v>
      </x:c>
      <x:c r="J1" s="3" t="str">
        <x:v>炼丹配方、持续消耗与利润/小时</x:v>
      </x:c>
      <x:c r="K1" s="3" t="str">
        <x:v>炼丹配方、持续消耗与利润/小时</x:v>
      </x:c>
      <x:c r="L1" s="3" t="str">
        <x:v>炼丹配方、持续消耗与利润/小时</x:v>
      </x:c>
      <x:c r="M1" s="3" t="str">
        <x:v>炼丹配方、持续消耗与利润/小时</x:v>
      </x:c>
      <x:c r="N1" s="3" t="str">
        <x:v>炼丹配方、持续消耗与利润/小时</x:v>
      </x:c>
      <x:c r="O1" s="3" t="str">
        <x:v>炼丹配方、持续消耗与利润/小时</x:v>
      </x:c>
      <x:c r="P1" s="3" t="str">
        <x:v>炼丹配方、持续消耗与利润/小时</x:v>
      </x:c>
      <x:c r="Q1" s="3" t="str">
        <x:v>炼丹配方、持续消耗与利润/小时</x:v>
      </x:c>
      <x:c r="R1" s="3" t="str">
        <x:v>炼丹配方、持续消耗与利润/小时</x:v>
      </x:c>
      <x:c r="S1" s="3" t="str">
        <x:v>炼丹配方、持续消耗与利润/小时</x:v>
      </x:c>
      <x:c r="T1" s="3" t="str">
        <x:v>炼丹配方、持续消耗与利润/小时</x:v>
      </x:c>
      <x:c r="U1" s="3" t="str">
        <x:v>炼丹配方、持续消耗与利润/小时</x:v>
      </x:c>
      <x:c r="V1" s="3" t="str">
        <x:v>炼丹配方、持续消耗与利润/小时</x:v>
      </x:c>
      <x:c r="W1" s="3" t="str">
        <x:v>炼丹配方、持续消耗与利润/小时</x:v>
      </x:c>
    </x:row>
    <x:row r="2">
      <x:c r="A2" s="7" t="str">
        <x:v>材料机会成本全部按市场基准价计算，自产材料不视为免费。丹药既是Build选择，也是长期Recurring Sink。</x:v>
      </x:c>
      <x:c r="B2" s="7" t="str">
        <x:v>材料机会成本全部按市场基准价计算，自产材料不视为免费。丹药既是Build选择，也是长期Recurring Sink。</x:v>
      </x:c>
      <x:c r="C2" s="7" t="str">
        <x:v>材料机会成本全部按市场基准价计算，自产材料不视为免费。丹药既是Build选择，也是长期Recurring Sink。</x:v>
      </x:c>
      <x:c r="D2" s="7" t="str">
        <x:v>材料机会成本全部按市场基准价计算，自产材料不视为免费。丹药既是Build选择，也是长期Recurring Sink。</x:v>
      </x:c>
      <x:c r="E2" s="7" t="str">
        <x:v>材料机会成本全部按市场基准价计算，自产材料不视为免费。丹药既是Build选择，也是长期Recurring Sink。</x:v>
      </x:c>
      <x:c r="F2" s="7" t="str">
        <x:v>材料机会成本全部按市场基准价计算，自产材料不视为免费。丹药既是Build选择，也是长期Recurring Sink。</x:v>
      </x:c>
      <x:c r="G2" s="7" t="str">
        <x:v>材料机会成本全部按市场基准价计算，自产材料不视为免费。丹药既是Build选择，也是长期Recurring Sink。</x:v>
      </x:c>
      <x:c r="H2" s="7" t="str">
        <x:v>材料机会成本全部按市场基准价计算，自产材料不视为免费。丹药既是Build选择，也是长期Recurring Sink。</x:v>
      </x:c>
      <x:c r="I2" s="7" t="str">
        <x:v>材料机会成本全部按市场基准价计算，自产材料不视为免费。丹药既是Build选择，也是长期Recurring Sink。</x:v>
      </x:c>
      <x:c r="J2" s="7" t="str">
        <x:v>材料机会成本全部按市场基准价计算，自产材料不视为免费。丹药既是Build选择，也是长期Recurring Sink。</x:v>
      </x:c>
      <x:c r="K2" s="7" t="str">
        <x:v>材料机会成本全部按市场基准价计算，自产材料不视为免费。丹药既是Build选择，也是长期Recurring Sink。</x:v>
      </x:c>
      <x:c r="L2" s="7" t="str">
        <x:v>材料机会成本全部按市场基准价计算，自产材料不视为免费。丹药既是Build选择，也是长期Recurring Sink。</x:v>
      </x:c>
      <x:c r="M2" s="7" t="str">
        <x:v>材料机会成本全部按市场基准价计算，自产材料不视为免费。丹药既是Build选择，也是长期Recurring Sink。</x:v>
      </x:c>
      <x:c r="N2" s="7" t="str">
        <x:v>材料机会成本全部按市场基准价计算，自产材料不视为免费。丹药既是Build选择，也是长期Recurring Sink。</x:v>
      </x:c>
      <x:c r="O2" s="7" t="str">
        <x:v>材料机会成本全部按市场基准价计算，自产材料不视为免费。丹药既是Build选择，也是长期Recurring Sink。</x:v>
      </x:c>
      <x:c r="P2" s="7" t="str">
        <x:v>材料机会成本全部按市场基准价计算，自产材料不视为免费。丹药既是Build选择，也是长期Recurring Sink。</x:v>
      </x:c>
      <x:c r="Q2" s="7" t="str">
        <x:v>材料机会成本全部按市场基准价计算，自产材料不视为免费。丹药既是Build选择，也是长期Recurring Sink。</x:v>
      </x:c>
      <x:c r="R2" s="7" t="str">
        <x:v>材料机会成本全部按市场基准价计算，自产材料不视为免费。丹药既是Build选择，也是长期Recurring Sink。</x:v>
      </x:c>
      <x:c r="S2" s="7" t="str">
        <x:v>材料机会成本全部按市场基准价计算，自产材料不视为免费。丹药既是Build选择，也是长期Recurring Sink。</x:v>
      </x:c>
      <x:c r="T2" s="7" t="str">
        <x:v>材料机会成本全部按市场基准价计算，自产材料不视为免费。丹药既是Build选择，也是长期Recurring Sink。</x:v>
      </x:c>
      <x:c r="U2" s="7" t="str">
        <x:v>材料机会成本全部按市场基准价计算，自产材料不视为免费。丹药既是Build选择，也是长期Recurring Sink。</x:v>
      </x:c>
      <x:c r="V2" s="7" t="str">
        <x:v>材料机会成本全部按市场基准价计算，自产材料不视为免费。丹药既是Build选择，也是长期Recurring Sink。</x:v>
      </x:c>
      <x:c r="W2" s="7" t="str">
        <x:v>材料机会成本全部按市场基准价计算，自产材料不视为免费。丹药既是Build选择，也是长期Recurring Sink。</x:v>
      </x:c>
    </x:row>
    <x:row r="3">
      <x:c r="A3" s="7" t="str">
        <x:v>材料机会成本全部按市场基准价计算，自产材料不视为免费。丹药既是Build选择，也是长期Recurring Sink。</x:v>
      </x:c>
      <x:c r="B3" s="7" t="str">
        <x:v>材料机会成本全部按市场基准价计算，自产材料不视为免费。丹药既是Build选择，也是长期Recurring Sink。</x:v>
      </x:c>
      <x:c r="C3" s="7" t="str">
        <x:v>材料机会成本全部按市场基准价计算，自产材料不视为免费。丹药既是Build选择，也是长期Recurring Sink。</x:v>
      </x:c>
      <x:c r="D3" s="7" t="str">
        <x:v>材料机会成本全部按市场基准价计算，自产材料不视为免费。丹药既是Build选择，也是长期Recurring Sink。</x:v>
      </x:c>
      <x:c r="E3" s="7" t="str">
        <x:v>材料机会成本全部按市场基准价计算，自产材料不视为免费。丹药既是Build选择，也是长期Recurring Sink。</x:v>
      </x:c>
      <x:c r="F3" s="7" t="str">
        <x:v>材料机会成本全部按市场基准价计算，自产材料不视为免费。丹药既是Build选择，也是长期Recurring Sink。</x:v>
      </x:c>
      <x:c r="G3" s="7" t="str">
        <x:v>材料机会成本全部按市场基准价计算，自产材料不视为免费。丹药既是Build选择，也是长期Recurring Sink。</x:v>
      </x:c>
      <x:c r="H3" s="7" t="str">
        <x:v>材料机会成本全部按市场基准价计算，自产材料不视为免费。丹药既是Build选择，也是长期Recurring Sink。</x:v>
      </x:c>
      <x:c r="I3" s="7" t="str">
        <x:v>材料机会成本全部按市场基准价计算，自产材料不视为免费。丹药既是Build选择，也是长期Recurring Sink。</x:v>
      </x:c>
      <x:c r="J3" s="7" t="str">
        <x:v>材料机会成本全部按市场基准价计算，自产材料不视为免费。丹药既是Build选择，也是长期Recurring Sink。</x:v>
      </x:c>
      <x:c r="K3" s="7" t="str">
        <x:v>材料机会成本全部按市场基准价计算，自产材料不视为免费。丹药既是Build选择，也是长期Recurring Sink。</x:v>
      </x:c>
      <x:c r="L3" s="7" t="str">
        <x:v>材料机会成本全部按市场基准价计算，自产材料不视为免费。丹药既是Build选择，也是长期Recurring Sink。</x:v>
      </x:c>
      <x:c r="M3" s="7" t="str">
        <x:v>材料机会成本全部按市场基准价计算，自产材料不视为免费。丹药既是Build选择，也是长期Recurring Sink。</x:v>
      </x:c>
      <x:c r="N3" s="7" t="str">
        <x:v>材料机会成本全部按市场基准价计算，自产材料不视为免费。丹药既是Build选择，也是长期Recurring Sink。</x:v>
      </x:c>
      <x:c r="O3" s="7" t="str">
        <x:v>材料机会成本全部按市场基准价计算，自产材料不视为免费。丹药既是Build选择，也是长期Recurring Sink。</x:v>
      </x:c>
      <x:c r="P3" s="7" t="str">
        <x:v>材料机会成本全部按市场基准价计算，自产材料不视为免费。丹药既是Build选择，也是长期Recurring Sink。</x:v>
      </x:c>
      <x:c r="Q3" s="7" t="str">
        <x:v>材料机会成本全部按市场基准价计算，自产材料不视为免费。丹药既是Build选择，也是长期Recurring Sink。</x:v>
      </x:c>
      <x:c r="R3" s="7" t="str">
        <x:v>材料机会成本全部按市场基准价计算，自产材料不视为免费。丹药既是Build选择，也是长期Recurring Sink。</x:v>
      </x:c>
      <x:c r="S3" s="7" t="str">
        <x:v>材料机会成本全部按市场基准价计算，自产材料不视为免费。丹药既是Build选择，也是长期Recurring Sink。</x:v>
      </x:c>
      <x:c r="T3" s="7" t="str">
        <x:v>材料机会成本全部按市场基准价计算，自产材料不视为免费。丹药既是Build选择，也是长期Recurring Sink。</x:v>
      </x:c>
      <x:c r="U3" s="7" t="str">
        <x:v>材料机会成本全部按市场基准价计算，自产材料不视为免费。丹药既是Build选择，也是长期Recurring Sink。</x:v>
      </x:c>
      <x:c r="V3" s="7" t="str">
        <x:v>材料机会成本全部按市场基准价计算，自产材料不视为免费。丹药既是Build选择，也是长期Recurring Sink。</x:v>
      </x:c>
      <x:c r="W3" s="7" t="str">
        <x:v>材料机会成本全部按市场基准价计算，自产材料不视为免费。丹药既是Build选择，也是长期Recurring Sink。</x:v>
      </x:c>
    </x:row>
    <x:row r="5" ht="28" customHeight="1">
      <x:c r="A5" s="19" t="str">
        <x:v>配方</x:v>
      </x:c>
      <x:c r="B5" s="20" t="str">
        <x:v>境界</x:v>
      </x:c>
      <x:c r="C5" s="20" t="str">
        <x:v>等级</x:v>
      </x:c>
      <x:c r="D5" s="20" t="str">
        <x:v>材料1</x:v>
      </x:c>
      <x:c r="E5" s="20" t="str">
        <x:v>数量1</x:v>
      </x:c>
      <x:c r="F5" s="20" t="str">
        <x:v>材料2</x:v>
      </x:c>
      <x:c r="G5" s="20" t="str">
        <x:v>数量2</x:v>
      </x:c>
      <x:c r="H5" s="20" t="str">
        <x:v>材料3</x:v>
      </x:c>
      <x:c r="I5" s="20" t="str">
        <x:v>数量3</x:v>
      </x:c>
      <x:c r="J5" s="20" t="str">
        <x:v>基础秒数</x:v>
      </x:c>
      <x:c r="K5" s="20" t="str">
        <x:v>基础成丹</x:v>
      </x:c>
      <x:c r="L5" s="20" t="str">
        <x:v>行动XP</x:v>
      </x:c>
      <x:c r="M5" s="20" t="str">
        <x:v>效果</x:v>
      </x:c>
      <x:c r="N5" s="20" t="str">
        <x:v>持续秒数</x:v>
      </x:c>
      <x:c r="O5" s="20" t="str">
        <x:v>药力槽</x:v>
      </x:c>
      <x:c r="P5" s="20" t="str">
        <x:v>范围</x:v>
      </x:c>
      <x:c r="Q5" s="20" t="str">
        <x:v>材料成本</x:v>
      </x:c>
      <x:c r="R5" s="20" t="str">
        <x:v>技能速度</x:v>
      </x:c>
      <x:c r="S5" s="20" t="str">
        <x:v>技能效率</x:v>
      </x:c>
      <x:c r="T5" s="20" t="str">
        <x:v>行动/小时</x:v>
      </x:c>
      <x:c r="U5" s="20" t="str">
        <x:v>成丹/小时</x:v>
      </x:c>
      <x:c r="V5" s="20" t="str">
        <x:v>税后产值/小时</x:v>
      </x:c>
      <x:c r="W5" s="21" t="str">
        <x:v>利润/小时</x:v>
      </x:c>
    </x:row>
    <x:row r="6">
      <x:c r="A6" s="29" t="str">
        <x:v>聚气散</x:v>
      </x:c>
      <x:c r="B6" s="29" t="str">
        <x:v>凡人</x:v>
      </x:c>
      <x:c r="C6" s="29" t="n">
        <x:v>1</x:v>
      </x:c>
      <x:c r="D6" s="29" t="str">
        <x:v>青灵草</x:v>
      </x:c>
      <x:c r="E6" s="29" t="n">
        <x:v>2</x:v>
      </x:c>
      <x:c r="F6" s="29" t="str"/>
      <x:c r="G6" s="29" t="n">
        <x:v>0</x:v>
      </x:c>
      <x:c r="H6" s="29" t="str"/>
      <x:c r="I6" s="29" t="n">
        <x:v>0</x:v>
      </x:c>
      <x:c r="J6" s="29" t="n">
        <x:v>100</x:v>
      </x:c>
      <x:c r="K6" s="29" t="n">
        <x:v>1</x:v>
      </x:c>
      <x:c r="L6" s="29" t="n">
        <x:v>6</x:v>
      </x:c>
      <x:c r="M6" s="29" t="str">
        <x:v>修为+10%</x:v>
      </x:c>
      <x:c r="N6" s="29" t="n">
        <x:v>900</x:v>
      </x:c>
      <x:c r="O6" s="29" t="n">
        <x:v>1</x:v>
      </x:c>
      <x:c r="P6" s="29" t="str">
        <x:v>MVP</x:v>
      </x:c>
      <x:c r="Q6" s="39" t="n">
        <x:f>E6*IF(D6="",0,IFERROR(VLOOKUP(D6,'14_市场基准价'!$A$6:$J$80,4,FALSE),0))+G6*IF(F6="",0,IFERROR(VLOOKUP(F6,'14_市场基准价'!$A$6:$J$80,4,FALSE),0))+I6*IF(H6="",0,IFERROR(VLOOKUP(H6,'14_市场基准价'!$A$6:$J$80,4,FALSE),0))</x:f>
        <x:v>4</x:v>
      </x:c>
      <x:c r="R6" s="61" t="n">
        <x:f>MIN('01_核心假设'!$B$22*'01_核心假设'!$B$18,'01_核心假设'!$B$20)</x:f>
        <x:v>0.08</x:v>
      </x:c>
      <x:c r="S6" s="61" t="n">
        <x:f>MIN('01_核心假设'!$B$22*'01_核心假设'!$B$19,'01_核心假设'!$B$21)</x:f>
        <x:v>0.12</x:v>
      </x:c>
      <x:c r="T6" s="39" t="n">
        <x:f>'01_核心假设'!$B$6/(J6/(1+R6))</x:f>
        <x:v>38.88</x:v>
      </x:c>
      <x:c r="U6" s="39" t="n">
        <x:f>T6*K6*(1+S6)</x:f>
        <x:v>43.54560000000001</x:v>
      </x:c>
      <x:c r="V6" s="39" t="n">
        <x:f>U6*IF(A6="",0,IFERROR(VLOOKUP(A6,'14_市场基准价'!$A$6:$J$80,4,FALSE),0))*(1-'01_核心假设'!$B$15)</x:f>
        <x:v>337.91385600000007</x:v>
      </x:c>
      <x:c r="W6" s="39" t="n">
        <x:f>V6-T6*Q6</x:f>
        <x:v>182.39385600000006</x:v>
      </x:c>
    </x:row>
    <x:row r="7">
      <x:c r="A7" s="30" t="str">
        <x:v>聚气丹</x:v>
      </x:c>
      <x:c r="B7" s="30" t="str">
        <x:v>炼气</x:v>
      </x:c>
      <x:c r="C7" s="30" t="n">
        <x:v>10</x:v>
      </x:c>
      <x:c r="D7" s="30" t="str">
        <x:v>青灵草</x:v>
      </x:c>
      <x:c r="E7" s="30" t="n">
        <x:v>3</x:v>
      </x:c>
      <x:c r="F7" s="30" t="str">
        <x:v>凝露花</x:v>
      </x:c>
      <x:c r="G7" s="30" t="n">
        <x:v>1</x:v>
      </x:c>
      <x:c r="H7" s="30" t="str"/>
      <x:c r="I7" s="30" t="n">
        <x:v>0</x:v>
      </x:c>
      <x:c r="J7" s="30" t="n">
        <x:v>225</x:v>
      </x:c>
      <x:c r="K7" s="30" t="n">
        <x:v>1</x:v>
      </x:c>
      <x:c r="L7" s="30" t="n">
        <x:v>14</x:v>
      </x:c>
      <x:c r="M7" s="30" t="str">
        <x:v>修为+25%</x:v>
      </x:c>
      <x:c r="N7" s="30" t="n">
        <x:v>1800</x:v>
      </x:c>
      <x:c r="O7" s="30" t="n">
        <x:v>1</x:v>
      </x:c>
      <x:c r="P7" s="30" t="str">
        <x:v>MVP明星</x:v>
      </x:c>
      <x:c r="Q7" s="41" t="n">
        <x:f>E7*IF(D7="",0,IFERROR(VLOOKUP(D7,'14_市场基准价'!$A$6:$J$80,4,FALSE),0))+G7*IF(F7="",0,IFERROR(VLOOKUP(F7,'14_市场基准价'!$A$6:$J$80,4,FALSE),0))+I7*IF(H7="",0,IFERROR(VLOOKUP(H7,'14_市场基准价'!$A$6:$J$80,4,FALSE),0))</x:f>
        <x:v>14</x:v>
      </x:c>
      <x:c r="R7" s="62" t="n">
        <x:f>MIN('01_核心假设'!$B$22*'01_核心假设'!$B$18,'01_核心假设'!$B$20)</x:f>
        <x:v>0.08</x:v>
      </x:c>
      <x:c r="S7" s="62" t="n">
        <x:f>MIN('01_核心假设'!$B$22*'01_核心假设'!$B$19,'01_核心假设'!$B$21)</x:f>
        <x:v>0.12</x:v>
      </x:c>
      <x:c r="T7" s="41" t="n">
        <x:f>'01_核心假设'!$B$6/(J7/(1+R7))</x:f>
        <x:v>17.28</x:v>
      </x:c>
      <x:c r="U7" s="41" t="n">
        <x:f>T7*K7*(1+S7)</x:f>
        <x:v>19.353600000000004</x:v>
      </x:c>
      <x:c r="V7" s="41" t="n">
        <x:f>U7*IF(A7="",0,IFERROR(VLOOKUP(A7,'14_市场基准价'!$A$6:$J$80,4,FALSE),0))*(1-'01_核心假设'!$B$15)</x:f>
        <x:v>525.6437760000001</x:v>
      </x:c>
      <x:c r="W7" s="41" t="n">
        <x:f>V7-T7*Q7</x:f>
        <x:v>283.7237760000001</x:v>
      </x:c>
    </x:row>
    <x:row r="8">
      <x:c r="A8" s="30" t="str">
        <x:v>回春丹</x:v>
      </x:c>
      <x:c r="B8" s="30" t="str">
        <x:v>炼气</x:v>
      </x:c>
      <x:c r="C8" s="30" t="n">
        <x:v>8</x:v>
      </x:c>
      <x:c r="D8" s="30" t="str">
        <x:v>青灵草</x:v>
      </x:c>
      <x:c r="E8" s="30" t="n">
        <x:v>2</x:v>
      </x:c>
      <x:c r="F8" s="30" t="str">
        <x:v>青蛇胆</x:v>
      </x:c>
      <x:c r="G8" s="30" t="n">
        <x:v>1</x:v>
      </x:c>
      <x:c r="H8" s="30" t="str"/>
      <x:c r="I8" s="30" t="n">
        <x:v>0</x:v>
      </x:c>
      <x:c r="J8" s="30" t="n">
        <x:v>175</x:v>
      </x:c>
      <x:c r="K8" s="30" t="n">
        <x:v>1</x:v>
      </x:c>
      <x:c r="L8" s="30" t="n">
        <x:v>11</x:v>
      </x:c>
      <x:c r="M8" s="30" t="str">
        <x:v>战斗恢复</x:v>
      </x:c>
      <x:c r="N8" s="30" t="n">
        <x:v>0</x:v>
      </x:c>
      <x:c r="O8" s="30" t="n">
        <x:v>1</x:v>
      </x:c>
      <x:c r="P8" s="30" t="str">
        <x:v>MVP</x:v>
      </x:c>
      <x:c r="Q8" s="41" t="n">
        <x:f>E8*IF(D8="",0,IFERROR(VLOOKUP(D8,'14_市场基准价'!$A$6:$J$80,4,FALSE),0))+G8*IF(F8="",0,IFERROR(VLOOKUP(F8,'14_市场基准价'!$A$6:$J$80,4,FALSE),0))+I8*IF(H8="",0,IFERROR(VLOOKUP(H8,'14_市场基准价'!$A$6:$J$80,4,FALSE),0))</x:f>
        <x:v>22</x:v>
      </x:c>
      <x:c r="R8" s="62" t="n">
        <x:f>MIN('01_核心假设'!$B$22*'01_核心假设'!$B$18,'01_核心假设'!$B$20)</x:f>
        <x:v>0.08</x:v>
      </x:c>
      <x:c r="S8" s="62" t="n">
        <x:f>MIN('01_核心假设'!$B$22*'01_核心假设'!$B$19,'01_核心假设'!$B$21)</x:f>
        <x:v>0.12</x:v>
      </x:c>
      <x:c r="T8" s="41" t="n">
        <x:f>'01_核心假设'!$B$6/(J8/(1+R8))</x:f>
        <x:v>22.217142857142857</x:v>
      </x:c>
      <x:c r="U8" s="41" t="n">
        <x:f>T8*K8*(1+S8)</x:f>
        <x:v>24.883200000000002</x:v>
      </x:c>
      <x:c r="V8" s="41" t="n">
        <x:f>U8*IF(A8="",0,IFERROR(VLOOKUP(A8,'14_市场基准价'!$A$6:$J$80,4,FALSE),0))*(1-'01_核心假设'!$B$15)</x:f>
        <x:v>482.73408</x:v>
      </x:c>
      <x:c r="W8" s="41" t="n">
        <x:f>V8-T8*Q8</x:f>
        <x:v>-6.043062857142843</x:v>
      </x:c>
    </x:row>
    <x:row r="9">
      <x:c r="A9" s="30" t="str">
        <x:v>益神丹</x:v>
      </x:c>
      <x:c r="B9" s="30" t="str">
        <x:v>炼气</x:v>
      </x:c>
      <x:c r="C9" s="30" t="n">
        <x:v>15</x:v>
      </x:c>
      <x:c r="D9" s="30" t="str">
        <x:v>凝露花</x:v>
      </x:c>
      <x:c r="E9" s="30" t="n">
        <x:v>2</x:v>
      </x:c>
      <x:c r="F9" s="30" t="str">
        <x:v>紫叶兰</x:v>
      </x:c>
      <x:c r="G9" s="30" t="n">
        <x:v>1</x:v>
      </x:c>
      <x:c r="H9" s="30" t="str"/>
      <x:c r="I9" s="30" t="n">
        <x:v>0</x:v>
      </x:c>
      <x:c r="J9" s="30" t="n">
        <x:v>300</x:v>
      </x:c>
      <x:c r="K9" s="30" t="n">
        <x:v>1</x:v>
      </x:c>
      <x:c r="L9" s="30" t="n">
        <x:v>18</x:v>
      </x:c>
      <x:c r="M9" s="30" t="str">
        <x:v>百艺XP+15%</x:v>
      </x:c>
      <x:c r="N9" s="30" t="n">
        <x:v>1800</x:v>
      </x:c>
      <x:c r="O9" s="30" t="n">
        <x:v>1</x:v>
      </x:c>
      <x:c r="P9" s="30" t="str">
        <x:v>MVP</x:v>
      </x:c>
      <x:c r="Q9" s="41" t="n">
        <x:f>E9*IF(D9="",0,IFERROR(VLOOKUP(D9,'14_市场基准价'!$A$6:$J$80,4,FALSE),0))+G9*IF(F9="",0,IFERROR(VLOOKUP(F9,'14_市场基准价'!$A$6:$J$80,4,FALSE),0))+I9*IF(H9="",0,IFERROR(VLOOKUP(H9,'14_市场基准价'!$A$6:$J$80,4,FALSE),0))</x:f>
        <x:v>34</x:v>
      </x:c>
      <x:c r="R9" s="62" t="n">
        <x:f>MIN('01_核心假设'!$B$22*'01_核心假设'!$B$18,'01_核心假设'!$B$20)</x:f>
        <x:v>0.08</x:v>
      </x:c>
      <x:c r="S9" s="62" t="n">
        <x:f>MIN('01_核心假设'!$B$22*'01_核心假设'!$B$19,'01_核心假设'!$B$21)</x:f>
        <x:v>0.12</x:v>
      </x:c>
      <x:c r="T9" s="41" t="n">
        <x:f>'01_核心假设'!$B$6/(J9/(1+R9))</x:f>
        <x:v>12.96</x:v>
      </x:c>
      <x:c r="U9" s="41" t="n">
        <x:f>T9*K9*(1+S9)</x:f>
        <x:v>14.515200000000002</x:v>
      </x:c>
      <x:c r="V9" s="41" t="n">
        <x:f>U9*IF(A9="",0,IFERROR(VLOOKUP(A9,'14_市场基准价'!$A$6:$J$80,4,FALSE),0))*(1-'01_核心假设'!$B$15)</x:f>
        <x:v>492.79104</x:v>
      </x:c>
      <x:c r="W9" s="41" t="n">
        <x:f>V9-T9*Q9</x:f>
        <x:v>52.151039999999966</x:v>
      </x:c>
    </x:row>
    <x:row r="10">
      <x:c r="A10" s="30" t="str">
        <x:v>采灵丹</x:v>
      </x:c>
      <x:c r="B10" s="30" t="str">
        <x:v>炼气</x:v>
      </x:c>
      <x:c r="C10" s="30" t="n">
        <x:v>18</x:v>
      </x:c>
      <x:c r="D10" s="30" t="str">
        <x:v>凝露花</x:v>
      </x:c>
      <x:c r="E10" s="30" t="n">
        <x:v>2</x:v>
      </x:c>
      <x:c r="F10" s="30" t="str">
        <x:v>妖狼牙</x:v>
      </x:c>
      <x:c r="G10" s="30" t="n">
        <x:v>1</x:v>
      </x:c>
      <x:c r="H10" s="30" t="str"/>
      <x:c r="I10" s="30" t="n">
        <x:v>0</x:v>
      </x:c>
      <x:c r="J10" s="30" t="n">
        <x:v>350</x:v>
      </x:c>
      <x:c r="K10" s="30" t="n">
        <x:v>1</x:v>
      </x:c>
      <x:c r="L10" s="30" t="n">
        <x:v>22</x:v>
      </x:c>
      <x:c r="M10" s="30" t="str">
        <x:v>珍稀发现+8%</x:v>
      </x:c>
      <x:c r="N10" s="30" t="n">
        <x:v>1800</x:v>
      </x:c>
      <x:c r="O10" s="30" t="n">
        <x:v>1</x:v>
      </x:c>
      <x:c r="P10" s="30" t="str">
        <x:v>MVP</x:v>
      </x:c>
      <x:c r="Q10" s="41" t="n">
        <x:f>E10*IF(D10="",0,IFERROR(VLOOKUP(D10,'14_市场基准价'!$A$6:$J$80,4,FALSE),0))+G10*IF(F10="",0,IFERROR(VLOOKUP(F10,'14_市场基准价'!$A$6:$J$80,4,FALSE),0))+I10*IF(H10="",0,IFERROR(VLOOKUP(H10,'14_市场基准价'!$A$6:$J$80,4,FALSE),0))</x:f>
        <x:v>41</x:v>
      </x:c>
      <x:c r="R10" s="62" t="n">
        <x:f>MIN('01_核心假设'!$B$22*'01_核心假设'!$B$18,'01_核心假设'!$B$20)</x:f>
        <x:v>0.08</x:v>
      </x:c>
      <x:c r="S10" s="62" t="n">
        <x:f>MIN('01_核心假设'!$B$22*'01_核心假设'!$B$19,'01_核心假设'!$B$21)</x:f>
        <x:v>0.12</x:v>
      </x:c>
      <x:c r="T10" s="41" t="n">
        <x:f>'01_核心假设'!$B$6/(J10/(1+R10))</x:f>
        <x:v>11.108571428571429</x:v>
      </x:c>
      <x:c r="U10" s="41" t="n">
        <x:f>T10*K10*(1+S10)</x:f>
        <x:v>12.441600000000001</x:v>
      </x:c>
      <x:c r="V10" s="41" t="n">
        <x:f>U10*IF(A10="",0,IFERROR(VLOOKUP(A10,'14_市场基准价'!$A$6:$J$80,4,FALSE),0))*(1-'01_核心假设'!$B$15)</x:f>
        <x:v>482.73408</x:v>
      </x:c>
      <x:c r="W10" s="41" t="n">
        <x:f>V10-T10*Q10</x:f>
        <x:v>27.282651428571455</x:v>
      </x:c>
    </x:row>
    <x:row r="11">
      <x:c r="A11" s="30" t="str">
        <x:v>炼体丹</x:v>
      </x:c>
      <x:c r="B11" s="30" t="str">
        <x:v>炼气</x:v>
      </x:c>
      <x:c r="C11" s="30" t="n">
        <x:v>22</x:v>
      </x:c>
      <x:c r="D11" s="30" t="str">
        <x:v>紫叶兰</x:v>
      </x:c>
      <x:c r="E11" s="30" t="n">
        <x:v>2</x:v>
      </x:c>
      <x:c r="F11" s="30" t="str">
        <x:v>石甲</x:v>
      </x:c>
      <x:c r="G11" s="30" t="n">
        <x:v>1</x:v>
      </x:c>
      <x:c r="H11" s="30" t="str"/>
      <x:c r="I11" s="30" t="n">
        <x:v>0</x:v>
      </x:c>
      <x:c r="J11" s="30" t="n">
        <x:v>400</x:v>
      </x:c>
      <x:c r="K11" s="30" t="n">
        <x:v>1</x:v>
      </x:c>
      <x:c r="L11" s="30" t="n">
        <x:v>28</x:v>
      </x:c>
      <x:c r="M11" s="30" t="str">
        <x:v>战斗攻防+12%</x:v>
      </x:c>
      <x:c r="N11" s="30" t="n">
        <x:v>1800</x:v>
      </x:c>
      <x:c r="O11" s="30" t="n">
        <x:v>1</x:v>
      </x:c>
      <x:c r="P11" s="30" t="str">
        <x:v>MVP</x:v>
      </x:c>
      <x:c r="Q11" s="41" t="n">
        <x:f>E11*IF(D11="",0,IFERROR(VLOOKUP(D11,'14_市场基准价'!$A$6:$J$80,4,FALSE),0))+G11*IF(F11="",0,IFERROR(VLOOKUP(F11,'14_市场基准价'!$A$6:$J$80,4,FALSE),0))+I11*IF(H11="",0,IFERROR(VLOOKUP(H11,'14_市场基准价'!$A$6:$J$80,4,FALSE),0))</x:f>
        <x:v>66</x:v>
      </x:c>
      <x:c r="R11" s="62" t="n">
        <x:f>MIN('01_核心假设'!$B$22*'01_核心假设'!$B$18,'01_核心假设'!$B$20)</x:f>
        <x:v>0.08</x:v>
      </x:c>
      <x:c r="S11" s="62" t="n">
        <x:f>MIN('01_核心假设'!$B$22*'01_核心假设'!$B$19,'01_核心假设'!$B$21)</x:f>
        <x:v>0.12</x:v>
      </x:c>
      <x:c r="T11" s="41" t="n">
        <x:f>'01_核心假设'!$B$6/(J11/(1+R11))</x:f>
        <x:v>9.72</x:v>
      </x:c>
      <x:c r="U11" s="41" t="n">
        <x:f>T11*K11*(1+S11)</x:f>
        <x:v>10.886400000000002</x:v>
      </x:c>
      <x:c r="V11" s="41" t="n">
        <x:f>U11*IF(A11="",0,IFERROR(VLOOKUP(A11,'14_市场基准价'!$A$6:$J$80,4,FALSE),0))*(1-'01_核心假设'!$B$15)</x:f>
        <x:v>580.78944</x:v>
      </x:c>
      <x:c r="W11" s="41" t="n">
        <x:f>V11-T11*Q11</x:f>
        <x:v>-60.73056000000008</x:v>
      </x:c>
    </x:row>
    <x:row r="12">
      <x:c r="A12" s="30" t="str">
        <x:v>护脉丹</x:v>
      </x:c>
      <x:c r="B12" s="30" t="str">
        <x:v>炼气</x:v>
      </x:c>
      <x:c r="C12" s="30" t="n">
        <x:v>30</x:v>
      </x:c>
      <x:c r="D12" s="30" t="str">
        <x:v>紫叶兰</x:v>
      </x:c>
      <x:c r="E12" s="30" t="n">
        <x:v>3</x:v>
      </x:c>
      <x:c r="F12" s="30" t="str">
        <x:v>灵髓</x:v>
      </x:c>
      <x:c r="G12" s="30" t="n">
        <x:v>1</x:v>
      </x:c>
      <x:c r="H12" s="30" t="str">
        <x:v>青蛇胆</x:v>
      </x:c>
      <x:c r="I12" s="30" t="n">
        <x:v>2</x:v>
      </x:c>
      <x:c r="J12" s="30" t="n">
        <x:v>750</x:v>
      </x:c>
      <x:c r="K12" s="30" t="n">
        <x:v>1</x:v>
      </x:c>
      <x:c r="L12" s="30" t="n">
        <x:v>55</x:v>
      </x:c>
      <x:c r="M12" s="30" t="str">
        <x:v>突破准备</x:v>
      </x:c>
      <x:c r="N12" s="30" t="n">
        <x:v>0</x:v>
      </x:c>
      <x:c r="O12" s="30" t="n">
        <x:v>1</x:v>
      </x:c>
      <x:c r="P12" s="30" t="str">
        <x:v>MVP</x:v>
      </x:c>
      <x:c r="Q12" s="41" t="n">
        <x:f>E12*IF(D12="",0,IFERROR(VLOOKUP(D12,'14_市场基准价'!$A$6:$J$80,4,FALSE),0))+G12*IF(F12="",0,IFERROR(VLOOKUP(F12,'14_市场基准价'!$A$6:$J$80,4,FALSE),0))+I12*IF(H12="",0,IFERROR(VLOOKUP(H12,'14_市场基准价'!$A$6:$J$80,4,FALSE),0))</x:f>
        <x:v>210</x:v>
      </x:c>
      <x:c r="R12" s="62" t="n">
        <x:f>MIN('01_核心假设'!$B$22*'01_核心假设'!$B$18,'01_核心假设'!$B$20)</x:f>
        <x:v>0.08</x:v>
      </x:c>
      <x:c r="S12" s="62" t="n">
        <x:f>MIN('01_核心假设'!$B$22*'01_核心假设'!$B$19,'01_核心假设'!$B$21)</x:f>
        <x:v>0.12</x:v>
      </x:c>
      <x:c r="T12" s="41" t="n">
        <x:f>'01_核心假设'!$B$6/(J12/(1+R12))</x:f>
        <x:v>5.184000000000001</x:v>
      </x:c>
      <x:c r="U12" s="41" t="n">
        <x:f>T12*K12*(1+S12)</x:f>
        <x:v>5.8060800000000015</x:v>
      </x:c>
      <x:c r="V12" s="41" t="n">
        <x:f>U12*IF(A12="",0,IFERROR(VLOOKUP(A12,'14_市场基准价'!$A$6:$J$80,4,FALSE),0))*(1-'01_核心假设'!$B$15)</x:f>
        <x:v>535.0302720000002</x:v>
      </x:c>
      <x:c r="W12" s="41" t="n">
        <x:f>V12-T12*Q12</x:f>
        <x:v>-553.6097280000001</x:v>
      </x:c>
    </x:row>
    <x:row r="13">
      <x:c r="A13" s="30" t="str">
        <x:v>筑基丹</x:v>
      </x:c>
      <x:c r="B13" s="30" t="str">
        <x:v>炼气</x:v>
      </x:c>
      <x:c r="C13" s="30" t="n">
        <x:v>35</x:v>
      </x:c>
      <x:c r="D13" s="30" t="str">
        <x:v>凝露花</x:v>
      </x:c>
      <x:c r="E13" s="30" t="n">
        <x:v>20</x:v>
      </x:c>
      <x:c r="F13" s="30" t="str">
        <x:v>灵髓</x:v>
      </x:c>
      <x:c r="G13" s="30" t="n">
        <x:v>3</x:v>
      </x:c>
      <x:c r="H13" s="30" t="str">
        <x:v>妖丹</x:v>
      </x:c>
      <x:c r="I13" s="30" t="n">
        <x:v>2</x:v>
      </x:c>
      <x:c r="J13" s="30" t="n">
        <x:v>4500</x:v>
      </x:c>
      <x:c r="K13" s="30" t="n">
        <x:v>1</x:v>
      </x:c>
      <x:c r="L13" s="30" t="n">
        <x:v>250</x:v>
      </x:c>
      <x:c r="M13" s="30" t="str">
        <x:v>筑基条件</x:v>
      </x:c>
      <x:c r="N13" s="30" t="n">
        <x:v>0</x:v>
      </x:c>
      <x:c r="O13" s="30" t="n">
        <x:v>1</x:v>
      </x:c>
      <x:c r="P13" s="30" t="str">
        <x:v>MVP终极</x:v>
      </x:c>
      <x:c r="Q13" s="41" t="n">
        <x:f>E13*IF(D13="",0,IFERROR(VLOOKUP(D13,'14_市场基准价'!$A$6:$J$80,4,FALSE),0))+G13*IF(F13="",0,IFERROR(VLOOKUP(F13,'14_市场基准价'!$A$6:$J$80,4,FALSE),0))+I13*IF(H13="",0,IFERROR(VLOOKUP(H13,'14_市场基准价'!$A$6:$J$80,4,FALSE),0))</x:f>
        <x:v>700</x:v>
      </x:c>
      <x:c r="R13" s="62" t="n">
        <x:f>MIN('01_核心假设'!$B$22*'01_核心假设'!$B$18,'01_核心假设'!$B$20)</x:f>
        <x:v>0.08</x:v>
      </x:c>
      <x:c r="S13" s="62" t="n">
        <x:f>MIN('01_核心假设'!$B$22*'01_核心假设'!$B$19,'01_核心假设'!$B$21)</x:f>
        <x:v>0.12</x:v>
      </x:c>
      <x:c r="T13" s="41" t="n">
        <x:f>'01_核心假设'!$B$6/(J13/(1+R13))</x:f>
        <x:v>0.8640000000000001</x:v>
      </x:c>
      <x:c r="U13" s="41" t="n">
        <x:f>T13*K13*(1+S13)</x:f>
        <x:v>0.9676800000000002</x:v>
      </x:c>
      <x:c r="V13" s="41" t="n">
        <x:f>U13*IF(A13="",0,IFERROR(VLOOKUP(A13,'14_市场基准价'!$A$6:$J$80,4,FALSE),0))*(1-'01_核心假设'!$B$15)</x:f>
        <x:v>638.2817280000002</x:v>
      </x:c>
      <x:c r="W13" s="41" t="n">
        <x:f>V13-T13*Q13</x:f>
        <x:v>33.48172800000009</x:v>
      </x:c>
    </x:row>
    <x:row r="14">
      <x:c r="A14" s="31" t="str">
        <x:v>凝元丹</x:v>
      </x:c>
      <x:c r="B14" s="31" t="str">
        <x:v>筑基</x:v>
      </x:c>
      <x:c r="C14" s="31" t="n">
        <x:v>50</x:v>
      </x:c>
      <x:c r="D14" s="31" t="str">
        <x:v>地脉参</x:v>
      </x:c>
      <x:c r="E14" s="31" t="n">
        <x:v>3</x:v>
      </x:c>
      <x:c r="F14" s="31" t="str">
        <x:v>妖丹</x:v>
      </x:c>
      <x:c r="G14" s="31" t="n">
        <x:v>1</x:v>
      </x:c>
      <x:c r="H14" s="31" t="str">
        <x:v>黑风晶</x:v>
      </x:c>
      <x:c r="I14" s="31" t="n">
        <x:v>1</x:v>
      </x:c>
      <x:c r="J14" s="31" t="n">
        <x:v>900</x:v>
      </x:c>
      <x:c r="K14" s="31" t="n">
        <x:v>1</x:v>
      </x:c>
      <x:c r="L14" s="31" t="n">
        <x:v>80</x:v>
      </x:c>
      <x:c r="M14" s="31" t="str">
        <x:v>修为+40%</x:v>
      </x:c>
      <x:c r="N14" s="31" t="n">
        <x:v>900</x:v>
      </x:c>
      <x:c r="O14" s="31" t="n">
        <x:v>1</x:v>
      </x:c>
      <x:c r="P14" s="31" t="str">
        <x:v>扩展锚点</x:v>
      </x:c>
      <x:c r="Q14" s="43" t="n">
        <x:f>E14*IF(D14="",0,IFERROR(VLOOKUP(D14,'14_市场基准价'!$A$6:$J$80,4,FALSE),0))+G14*IF(F14="",0,IFERROR(VLOOKUP(F14,'14_市场基准价'!$A$6:$J$80,4,FALSE),0))+I14*IF(H14="",0,IFERROR(VLOOKUP(H14,'14_市场基准价'!$A$6:$J$80,4,FALSE),0))</x:f>
        <x:v>485</x:v>
      </x:c>
      <x:c r="R14" s="63" t="n">
        <x:f>MIN('01_核心假设'!$B$22*'01_核心假设'!$B$18,'01_核心假设'!$B$20)</x:f>
        <x:v>0.08</x:v>
      </x:c>
      <x:c r="S14" s="63" t="n">
        <x:f>MIN('01_核心假设'!$B$22*'01_核心假设'!$B$19,'01_核心假设'!$B$21)</x:f>
        <x:v>0.12</x:v>
      </x:c>
      <x:c r="T14" s="43" t="n">
        <x:f>'01_核心假设'!$B$6/(J14/(1+R14))</x:f>
        <x:v>4.32</x:v>
      </x:c>
      <x:c r="U14" s="43" t="n">
        <x:f>T14*K14*(1+S14)</x:f>
        <x:v>4.838400000000001</x:v>
      </x:c>
      <x:c r="V14" s="43" t="n">
        <x:f>U14*IF(A14="",0,IFERROR(VLOOKUP(A14,'14_市场基准价'!$A$6:$J$80,4,FALSE),0))*(1-'01_核心假设'!$B$15)</x:f>
        <x:v>563.1897600000001</x:v>
      </x:c>
      <x:c r="W14" s="43" t="n">
        <x:f>V14-T14*Q14</x:f>
        <x:v>-1532.01024</x:v>
      </x:c>
    </x:row>
  </x:sheetData>
  <x:mergeCells>
    <x:mergeCell ref="A1:W1"/>
    <x:mergeCell ref="A2:W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9" hidden="0" customWidth="1"/>
    <x:col min="5" max="5" width="13" hidden="0" customWidth="1"/>
    <x:col min="6" max="6" width="9" hidden="0" customWidth="1"/>
    <x:col min="7" max="7" width="13" hidden="0" customWidth="1"/>
    <x:col min="8" max="8" width="9" hidden="0" customWidth="1"/>
    <x:col min="9" max="9" width="13" hidden="0" customWidth="1"/>
    <x:col min="10" max="10" width="9" hidden="0" customWidth="1"/>
    <x:col min="11" max="11" width="11" hidden="0" customWidth="1"/>
    <x:col min="12" max="12" width="10" hidden="0" customWidth="1"/>
    <x:col min="13" max="13" width="14" hidden="0" customWidth="1"/>
    <x:col min="14" max="14" width="14" hidden="0" customWidth="1"/>
    <x:col min="15" max="15" width="11" hidden="0" customWidth="1"/>
    <x:col min="16" max="16" width="11" hidden="0" customWidth="1"/>
    <x:col min="17" max="17" width="13" hidden="0" customWidth="1"/>
    <x:col min="18" max="18" width="13" hidden="0" customWidth="1"/>
    <x:col min="19" max="19" width="16" hidden="0" customWidth="1"/>
    <x:col min="20" max="20" width="14" hidden="0" customWidth="1"/>
  </x:cols>
  <x:sheetData>
    <x:row r="1" ht="30" customHeight="1">
      <x:c r="A1" s="3" t="str">
        <x:v>炼器配方、装备供给与制造利润</x:v>
      </x:c>
      <x:c r="B1" s="3" t="str">
        <x:v>炼器配方、装备供给与制造利润</x:v>
      </x:c>
      <x:c r="C1" s="3" t="str">
        <x:v>炼器配方、装备供给与制造利润</x:v>
      </x:c>
      <x:c r="D1" s="3" t="str">
        <x:v>炼器配方、装备供给与制造利润</x:v>
      </x:c>
      <x:c r="E1" s="3" t="str">
        <x:v>炼器配方、装备供给与制造利润</x:v>
      </x:c>
      <x:c r="F1" s="3" t="str">
        <x:v>炼器配方、装备供给与制造利润</x:v>
      </x:c>
      <x:c r="G1" s="3" t="str">
        <x:v>炼器配方、装备供给与制造利润</x:v>
      </x:c>
      <x:c r="H1" s="3" t="str">
        <x:v>炼器配方、装备供给与制造利润</x:v>
      </x:c>
      <x:c r="I1" s="3" t="str">
        <x:v>炼器配方、装备供给与制造利润</x:v>
      </x:c>
      <x:c r="J1" s="3" t="str">
        <x:v>炼器配方、装备供给与制造利润</x:v>
      </x:c>
      <x:c r="K1" s="3" t="str">
        <x:v>炼器配方、装备供给与制造利润</x:v>
      </x:c>
      <x:c r="L1" s="3" t="str">
        <x:v>炼器配方、装备供给与制造利润</x:v>
      </x:c>
      <x:c r="M1" s="3" t="str">
        <x:v>炼器配方、装备供给与制造利润</x:v>
      </x:c>
      <x:c r="N1" s="3" t="str">
        <x:v>炼器配方、装备供给与制造利润</x:v>
      </x:c>
      <x:c r="O1" s="3" t="str">
        <x:v>炼器配方、装备供给与制造利润</x:v>
      </x:c>
      <x:c r="P1" s="3" t="str">
        <x:v>炼器配方、装备供给与制造利润</x:v>
      </x:c>
      <x:c r="Q1" s="3" t="str">
        <x:v>炼器配方、装备供给与制造利润</x:v>
      </x:c>
      <x:c r="R1" s="3" t="str">
        <x:v>炼器配方、装备供给与制造利润</x:v>
      </x:c>
      <x:c r="S1" s="3" t="str">
        <x:v>炼器配方、装备供给与制造利润</x:v>
      </x:c>
      <x:c r="T1" s="3" t="str">
        <x:v>炼器配方、装备供给与制造利润</x:v>
      </x:c>
    </x:row>
    <x:row r="2">
      <x:c r="A2" s="7" t="str">
        <x:v>炼器是低频高单价产业。制造成本使用市场机会成本；装备与工具通过淬炼继续消耗矿材、同类装备和灵石。</x:v>
      </x:c>
      <x:c r="B2" s="7" t="str">
        <x:v>炼器是低频高单价产业。制造成本使用市场机会成本；装备与工具通过淬炼继续消耗矿材、同类装备和灵石。</x:v>
      </x:c>
      <x:c r="C2" s="7" t="str">
        <x:v>炼器是低频高单价产业。制造成本使用市场机会成本；装备与工具通过淬炼继续消耗矿材、同类装备和灵石。</x:v>
      </x:c>
      <x:c r="D2" s="7" t="str">
        <x:v>炼器是低频高单价产业。制造成本使用市场机会成本；装备与工具通过淬炼继续消耗矿材、同类装备和灵石。</x:v>
      </x:c>
      <x:c r="E2" s="7" t="str">
        <x:v>炼器是低频高单价产业。制造成本使用市场机会成本；装备与工具通过淬炼继续消耗矿材、同类装备和灵石。</x:v>
      </x:c>
      <x:c r="F2" s="7" t="str">
        <x:v>炼器是低频高单价产业。制造成本使用市场机会成本；装备与工具通过淬炼继续消耗矿材、同类装备和灵石。</x:v>
      </x:c>
      <x:c r="G2" s="7" t="str">
        <x:v>炼器是低频高单价产业。制造成本使用市场机会成本；装备与工具通过淬炼继续消耗矿材、同类装备和灵石。</x:v>
      </x:c>
      <x:c r="H2" s="7" t="str">
        <x:v>炼器是低频高单价产业。制造成本使用市场机会成本；装备与工具通过淬炼继续消耗矿材、同类装备和灵石。</x:v>
      </x:c>
      <x:c r="I2" s="7" t="str">
        <x:v>炼器是低频高单价产业。制造成本使用市场机会成本；装备与工具通过淬炼继续消耗矿材、同类装备和灵石。</x:v>
      </x:c>
      <x:c r="J2" s="7" t="str">
        <x:v>炼器是低频高单价产业。制造成本使用市场机会成本；装备与工具通过淬炼继续消耗矿材、同类装备和灵石。</x:v>
      </x:c>
      <x:c r="K2" s="7" t="str">
        <x:v>炼器是低频高单价产业。制造成本使用市场机会成本；装备与工具通过淬炼继续消耗矿材、同类装备和灵石。</x:v>
      </x:c>
      <x:c r="L2" s="7" t="str">
        <x:v>炼器是低频高单价产业。制造成本使用市场机会成本；装备与工具通过淬炼继续消耗矿材、同类装备和灵石。</x:v>
      </x:c>
      <x:c r="M2" s="7" t="str">
        <x:v>炼器是低频高单价产业。制造成本使用市场机会成本；装备与工具通过淬炼继续消耗矿材、同类装备和灵石。</x:v>
      </x:c>
      <x:c r="N2" s="7" t="str">
        <x:v>炼器是低频高单价产业。制造成本使用市场机会成本；装备与工具通过淬炼继续消耗矿材、同类装备和灵石。</x:v>
      </x:c>
      <x:c r="O2" s="7" t="str">
        <x:v>炼器是低频高单价产业。制造成本使用市场机会成本；装备与工具通过淬炼继续消耗矿材、同类装备和灵石。</x:v>
      </x:c>
      <x:c r="P2" s="7" t="str">
        <x:v>炼器是低频高单价产业。制造成本使用市场机会成本；装备与工具通过淬炼继续消耗矿材、同类装备和灵石。</x:v>
      </x:c>
      <x:c r="Q2" s="7" t="str">
        <x:v>炼器是低频高单价产业。制造成本使用市场机会成本；装备与工具通过淬炼继续消耗矿材、同类装备和灵石。</x:v>
      </x:c>
      <x:c r="R2" s="7" t="str">
        <x:v>炼器是低频高单价产业。制造成本使用市场机会成本；装备与工具通过淬炼继续消耗矿材、同类装备和灵石。</x:v>
      </x:c>
      <x:c r="S2" s="7" t="str">
        <x:v>炼器是低频高单价产业。制造成本使用市场机会成本；装备与工具通过淬炼继续消耗矿材、同类装备和灵石。</x:v>
      </x:c>
      <x:c r="T2" s="7" t="str">
        <x:v>炼器是低频高单价产业。制造成本使用市场机会成本；装备与工具通过淬炼继续消耗矿材、同类装备和灵石。</x:v>
      </x:c>
    </x:row>
    <x:row r="3">
      <x:c r="A3" s="7" t="str">
        <x:v>炼器是低频高单价产业。制造成本使用市场机会成本；装备与工具通过淬炼继续消耗矿材、同类装备和灵石。</x:v>
      </x:c>
      <x:c r="B3" s="7" t="str">
        <x:v>炼器是低频高单价产业。制造成本使用市场机会成本；装备与工具通过淬炼继续消耗矿材、同类装备和灵石。</x:v>
      </x:c>
      <x:c r="C3" s="7" t="str">
        <x:v>炼器是低频高单价产业。制造成本使用市场机会成本；装备与工具通过淬炼继续消耗矿材、同类装备和灵石。</x:v>
      </x:c>
      <x:c r="D3" s="7" t="str">
        <x:v>炼器是低频高单价产业。制造成本使用市场机会成本；装备与工具通过淬炼继续消耗矿材、同类装备和灵石。</x:v>
      </x:c>
      <x:c r="E3" s="7" t="str">
        <x:v>炼器是低频高单价产业。制造成本使用市场机会成本；装备与工具通过淬炼继续消耗矿材、同类装备和灵石。</x:v>
      </x:c>
      <x:c r="F3" s="7" t="str">
        <x:v>炼器是低频高单价产业。制造成本使用市场机会成本；装备与工具通过淬炼继续消耗矿材、同类装备和灵石。</x:v>
      </x:c>
      <x:c r="G3" s="7" t="str">
        <x:v>炼器是低频高单价产业。制造成本使用市场机会成本；装备与工具通过淬炼继续消耗矿材、同类装备和灵石。</x:v>
      </x:c>
      <x:c r="H3" s="7" t="str">
        <x:v>炼器是低频高单价产业。制造成本使用市场机会成本；装备与工具通过淬炼继续消耗矿材、同类装备和灵石。</x:v>
      </x:c>
      <x:c r="I3" s="7" t="str">
        <x:v>炼器是低频高单价产业。制造成本使用市场机会成本；装备与工具通过淬炼继续消耗矿材、同类装备和灵石。</x:v>
      </x:c>
      <x:c r="J3" s="7" t="str">
        <x:v>炼器是低频高单价产业。制造成本使用市场机会成本；装备与工具通过淬炼继续消耗矿材、同类装备和灵石。</x:v>
      </x:c>
      <x:c r="K3" s="7" t="str">
        <x:v>炼器是低频高单价产业。制造成本使用市场机会成本；装备与工具通过淬炼继续消耗矿材、同类装备和灵石。</x:v>
      </x:c>
      <x:c r="L3" s="7" t="str">
        <x:v>炼器是低频高单价产业。制造成本使用市场机会成本；装备与工具通过淬炼继续消耗矿材、同类装备和灵石。</x:v>
      </x:c>
      <x:c r="M3" s="7" t="str">
        <x:v>炼器是低频高单价产业。制造成本使用市场机会成本；装备与工具通过淬炼继续消耗矿材、同类装备和灵石。</x:v>
      </x:c>
      <x:c r="N3" s="7" t="str">
        <x:v>炼器是低频高单价产业。制造成本使用市场机会成本；装备与工具通过淬炼继续消耗矿材、同类装备和灵石。</x:v>
      </x:c>
      <x:c r="O3" s="7" t="str">
        <x:v>炼器是低频高单价产业。制造成本使用市场机会成本；装备与工具通过淬炼继续消耗矿材、同类装备和灵石。</x:v>
      </x:c>
      <x:c r="P3" s="7" t="str">
        <x:v>炼器是低频高单价产业。制造成本使用市场机会成本；装备与工具通过淬炼继续消耗矿材、同类装备和灵石。</x:v>
      </x:c>
      <x:c r="Q3" s="7" t="str">
        <x:v>炼器是低频高单价产业。制造成本使用市场机会成本；装备与工具通过淬炼继续消耗矿材、同类装备和灵石。</x:v>
      </x:c>
      <x:c r="R3" s="7" t="str">
        <x:v>炼器是低频高单价产业。制造成本使用市场机会成本；装备与工具通过淬炼继续消耗矿材、同类装备和灵石。</x:v>
      </x:c>
      <x:c r="S3" s="7" t="str">
        <x:v>炼器是低频高单价产业。制造成本使用市场机会成本；装备与工具通过淬炼继续消耗矿材、同类装备和灵石。</x:v>
      </x:c>
      <x:c r="T3" s="7" t="str">
        <x:v>炼器是低频高单价产业。制造成本使用市场机会成本；装备与工具通过淬炼继续消耗矿材、同类装备和灵石。</x:v>
      </x:c>
    </x:row>
    <x:row r="5" ht="28" customHeight="1">
      <x:c r="A5" s="19" t="str">
        <x:v>成品</x:v>
      </x:c>
      <x:c r="B5" s="20" t="str">
        <x:v>类别</x:v>
      </x:c>
      <x:c r="C5" s="20" t="str">
        <x:v>境界</x:v>
      </x:c>
      <x:c r="D5" s="20" t="str">
        <x:v>等级</x:v>
      </x:c>
      <x:c r="E5" s="20" t="str">
        <x:v>材料1</x:v>
      </x:c>
      <x:c r="F5" s="20" t="str">
        <x:v>数量1</x:v>
      </x:c>
      <x:c r="G5" s="20" t="str">
        <x:v>材料2</x:v>
      </x:c>
      <x:c r="H5" s="20" t="str">
        <x:v>数量2</x:v>
      </x:c>
      <x:c r="I5" s="20" t="str">
        <x:v>材料3</x:v>
      </x:c>
      <x:c r="J5" s="20" t="str">
        <x:v>数量3</x:v>
      </x:c>
      <x:c r="K5" s="20" t="str">
        <x:v>基础秒数</x:v>
      </x:c>
      <x:c r="L5" s="20" t="str">
        <x:v>行动XP</x:v>
      </x:c>
      <x:c r="M5" s="20" t="str">
        <x:v>范围</x:v>
      </x:c>
      <x:c r="N5" s="20" t="str">
        <x:v>材料成本</x:v>
      </x:c>
      <x:c r="O5" s="20" t="str">
        <x:v>技能速度</x:v>
      </x:c>
      <x:c r="P5" s="20" t="str">
        <x:v>技能效率</x:v>
      </x:c>
      <x:c r="Q5" s="20" t="str">
        <x:v>行动/小时</x:v>
      </x:c>
      <x:c r="R5" s="20" t="str">
        <x:v>成品/小时</x:v>
      </x:c>
      <x:c r="S5" s="20" t="str">
        <x:v>税后产值/小时</x:v>
      </x:c>
      <x:c r="T5" s="21" t="str">
        <x:v>利润/小时</x:v>
      </x:c>
    </x:row>
    <x:row r="6">
      <x:c r="A6" s="29" t="str">
        <x:v>木柄药锄</x:v>
      </x:c>
      <x:c r="B6" s="29" t="str">
        <x:v>工具</x:v>
      </x:c>
      <x:c r="C6" s="29" t="str">
        <x:v>凡人</x:v>
      </x:c>
      <x:c r="D6" s="29" t="n">
        <x:v>1</x:v>
      </x:c>
      <x:c r="E6" s="29" t="str">
        <x:v>青竹</x:v>
      </x:c>
      <x:c r="F6" s="29" t="n">
        <x:v>5</x:v>
      </x:c>
      <x:c r="G6" s="29" t="str">
        <x:v>赤铜矿</x:v>
      </x:c>
      <x:c r="H6" s="29" t="n">
        <x:v>2</x:v>
      </x:c>
      <x:c r="I6" s="29" t="str"/>
      <x:c r="J6" s="29" t="n">
        <x:v>0</x:v>
      </x:c>
      <x:c r="K6" s="29" t="n">
        <x:v>300</x:v>
      </x:c>
      <x:c r="L6" s="29" t="n">
        <x:v>12</x:v>
      </x:c>
      <x:c r="M6" s="29" t="str">
        <x:v>MVP</x:v>
      </x:c>
      <x:c r="N6" s="39" t="n">
        <x:f>F6*IF(E6="",0,IFERROR(VLOOKUP(E6,'14_市场基准价'!$A$6:$J$80,4,FALSE),0))+H6*IF(G6="",0,IFERROR(VLOOKUP(G6,'14_市场基准价'!$A$6:$J$80,4,FALSE),0))+J6*IF(I6="",0,IFERROR(VLOOKUP(I6,'14_市场基准价'!$A$6:$J$80,4,FALSE),0))</x:f>
        <x:v>16</x:v>
      </x:c>
      <x:c r="O6" s="61" t="n">
        <x:f>MIN('01_核心假设'!$B$22*'01_核心假设'!$B$18,'01_核心假设'!$B$20)</x:f>
        <x:v>0.08</x:v>
      </x:c>
      <x:c r="P6" s="61" t="n">
        <x:f>MIN('01_核心假设'!$B$22*'01_核心假设'!$B$19,'01_核心假设'!$B$21)</x:f>
        <x:v>0.12</x:v>
      </x:c>
      <x:c r="Q6" s="39" t="n">
        <x:f>'01_核心假设'!$B$6/(K6/(1+O6))</x:f>
        <x:v>12.96</x:v>
      </x:c>
      <x:c r="R6" s="39" t="n">
        <x:f>Q6*(1+P6)</x:f>
        <x:v>14.515200000000002</x:v>
      </x:c>
      <x:c r="S6" s="39" t="n">
        <x:f>R6*IF(A6="",0,IFERROR(VLOOKUP(A6,'14_市场基准价'!$A$6:$J$80,4,FALSE),0))*(1-'01_核心假设'!$B$15)</x:f>
        <x:v>281.59488000000005</x:v>
      </x:c>
      <x:c r="T6" s="39" t="n">
        <x:f>S6-Q6*N6</x:f>
        <x:v>74.23488000000003</x:v>
      </x:c>
    </x:row>
    <x:row r="7">
      <x:c r="A7" s="30" t="str">
        <x:v>青铜药锄</x:v>
      </x:c>
      <x:c r="B7" s="30" t="str">
        <x:v>工具</x:v>
      </x:c>
      <x:c r="C7" s="30" t="str">
        <x:v>炼气</x:v>
      </x:c>
      <x:c r="D7" s="30" t="n">
        <x:v>10</x:v>
      </x:c>
      <x:c r="E7" s="30" t="str">
        <x:v>青竹</x:v>
      </x:c>
      <x:c r="F7" s="30" t="n">
        <x:v>8</x:v>
      </x:c>
      <x:c r="G7" s="30" t="str">
        <x:v>赤铜矿</x:v>
      </x:c>
      <x:c r="H7" s="30" t="n">
        <x:v>20</x:v>
      </x:c>
      <x:c r="I7" s="30" t="str"/>
      <x:c r="J7" s="30" t="n">
        <x:v>0</x:v>
      </x:c>
      <x:c r="K7" s="30" t="n">
        <x:v>900</x:v>
      </x:c>
      <x:c r="L7" s="30" t="n">
        <x:v>35</x:v>
      </x:c>
      <x:c r="M7" s="30" t="str">
        <x:v>MVP</x:v>
      </x:c>
      <x:c r="N7" s="41" t="n">
        <x:f>F7*IF(E7="",0,IFERROR(VLOOKUP(E7,'14_市场基准价'!$A$6:$J$80,4,FALSE),0))+H7*IF(G7="",0,IFERROR(VLOOKUP(G7,'14_市场基准价'!$A$6:$J$80,4,FALSE),0))+J7*IF(I7="",0,IFERROR(VLOOKUP(I7,'14_市场基准价'!$A$6:$J$80,4,FALSE),0))</x:f>
        <x:v>76</x:v>
      </x:c>
      <x:c r="O7" s="62" t="n">
        <x:f>MIN('01_核心假设'!$B$22*'01_核心假设'!$B$18,'01_核心假设'!$B$20)</x:f>
        <x:v>0.08</x:v>
      </x:c>
      <x:c r="P7" s="62" t="n">
        <x:f>MIN('01_核心假设'!$B$22*'01_核心假设'!$B$19,'01_核心假设'!$B$21)</x:f>
        <x:v>0.12</x:v>
      </x:c>
      <x:c r="Q7" s="41" t="n">
        <x:f>'01_核心假设'!$B$6/(K7/(1+O7))</x:f>
        <x:v>4.32</x:v>
      </x:c>
      <x:c r="R7" s="41" t="n">
        <x:f>Q7*(1+P7)</x:f>
        <x:v>4.838400000000001</x:v>
      </x:c>
      <x:c r="S7" s="41" t="n">
        <x:f>R7*IF(A7="",0,IFERROR(VLOOKUP(A7,'14_市场基准价'!$A$6:$J$80,4,FALSE),0))*(1-'01_核心假设'!$B$15)</x:f>
        <x:v>657.0547200000001</x:v>
      </x:c>
      <x:c r="T7" s="41" t="n">
        <x:f>S7-Q7*N7</x:f>
        <x:v>328.73472000000004</x:v>
      </x:c>
    </x:row>
    <x:row r="8">
      <x:c r="A8" s="30" t="str">
        <x:v>玄铁药锄</x:v>
      </x:c>
      <x:c r="B8" s="30" t="str">
        <x:v>工具</x:v>
      </x:c>
      <x:c r="C8" s="30" t="str">
        <x:v>炼气</x:v>
      </x:c>
      <x:c r="D8" s="30" t="n">
        <x:v>20</x:v>
      </x:c>
      <x:c r="E8" s="30" t="str">
        <x:v>铁木</x:v>
      </x:c>
      <x:c r="F8" s="30" t="n">
        <x:v>8</x:v>
      </x:c>
      <x:c r="G8" s="30" t="str">
        <x:v>玄铁矿</x:v>
      </x:c>
      <x:c r="H8" s="30" t="n">
        <x:v>25</x:v>
      </x:c>
      <x:c r="I8" s="30" t="str">
        <x:v>妖狼牙</x:v>
      </x:c>
      <x:c r="J8" s="30" t="n">
        <x:v>2</x:v>
      </x:c>
      <x:c r="K8" s="30" t="n">
        <x:v>1800</x:v>
      </x:c>
      <x:c r="L8" s="30" t="n">
        <x:v>70</x:v>
      </x:c>
      <x:c r="M8" s="30" t="str">
        <x:v>MVP</x:v>
      </x:c>
      <x:c r="N8" s="41" t="n">
        <x:f>F8*IF(E8="",0,IFERROR(VLOOKUP(E8,'14_市场基准价'!$A$6:$J$80,4,FALSE),0))+H8*IF(G8="",0,IFERROR(VLOOKUP(G8,'14_市场基准价'!$A$6:$J$80,4,FALSE),0))+J8*IF(I8="",0,IFERROR(VLOOKUP(I8,'14_市场基准价'!$A$6:$J$80,4,FALSE),0))</x:f>
        <x:v>430</x:v>
      </x:c>
      <x:c r="O8" s="62" t="n">
        <x:f>MIN('01_核心假设'!$B$22*'01_核心假设'!$B$18,'01_核心假设'!$B$20)</x:f>
        <x:v>0.08</x:v>
      </x:c>
      <x:c r="P8" s="62" t="n">
        <x:f>MIN('01_核心假设'!$B$22*'01_核心假设'!$B$19,'01_核心假设'!$B$21)</x:f>
        <x:v>0.12</x:v>
      </x:c>
      <x:c r="Q8" s="41" t="n">
        <x:f>'01_核心假设'!$B$6/(K8/(1+O8))</x:f>
        <x:v>2.16</x:v>
      </x:c>
      <x:c r="R8" s="41" t="n">
        <x:f>Q8*(1+P8)</x:f>
        <x:v>2.4192000000000005</x:v>
      </x:c>
      <x:c r="S8" s="41" t="n">
        <x:f>R8*IF(A8="",0,IFERROR(VLOOKUP(A8,'14_市场基准价'!$A$6:$J$80,4,FALSE),0))*(1-'01_核心假设'!$B$15)</x:f>
        <x:v>1126.3795200000002</x:v>
      </x:c>
      <x:c r="T8" s="41" t="n">
        <x:f>S8-Q8*N8</x:f>
        <x:v>197.57952000000012</x:v>
      </x:c>
    </x:row>
    <x:row r="9">
      <x:c r="A9" s="30" t="str">
        <x:v>灵玉药锄</x:v>
      </x:c>
      <x:c r="B9" s="30" t="str">
        <x:v>工具</x:v>
      </x:c>
      <x:c r="C9" s="30" t="str">
        <x:v>筑基</x:v>
      </x:c>
      <x:c r="D9" s="30" t="n">
        <x:v>35</x:v>
      </x:c>
      <x:c r="E9" s="30" t="str">
        <x:v>铁木</x:v>
      </x:c>
      <x:c r="F9" s="30" t="n">
        <x:v>20</x:v>
      </x:c>
      <x:c r="G9" s="30" t="str">
        <x:v>灵玉矿</x:v>
      </x:c>
      <x:c r="H9" s="30" t="n">
        <x:v>12</x:v>
      </x:c>
      <x:c r="I9" s="30" t="str">
        <x:v>黑风晶</x:v>
      </x:c>
      <x:c r="J9" s="30" t="n">
        <x:v>1</x:v>
      </x:c>
      <x:c r="K9" s="30" t="n">
        <x:v>3600</x:v>
      </x:c>
      <x:c r="L9" s="30" t="n">
        <x:v>150</x:v>
      </x:c>
      <x:c r="M9" s="30" t="str">
        <x:v>MVP Endgame</x:v>
      </x:c>
      <x:c r="N9" s="41" t="n">
        <x:f>F9*IF(E9="",0,IFERROR(VLOOKUP(E9,'14_市场基准价'!$A$6:$J$80,4,FALSE),0))+H9*IF(G9="",0,IFERROR(VLOOKUP(G9,'14_市场基准价'!$A$6:$J$80,4,FALSE),0))+J9*IF(I9="",0,IFERROR(VLOOKUP(I9,'14_市场基准价'!$A$6:$J$80,4,FALSE),0))</x:f>
        <x:v>1420</x:v>
      </x:c>
      <x:c r="O9" s="62" t="n">
        <x:f>MIN('01_核心假设'!$B$22*'01_核心假设'!$B$18,'01_核心假设'!$B$20)</x:f>
        <x:v>0.08</x:v>
      </x:c>
      <x:c r="P9" s="62" t="n">
        <x:f>MIN('01_核心假设'!$B$22*'01_核心假设'!$B$19,'01_核心假设'!$B$21)</x:f>
        <x:v>0.12</x:v>
      </x:c>
      <x:c r="Q9" s="41" t="n">
        <x:f>'01_核心假设'!$B$6/(K9/(1+O9))</x:f>
        <x:v>1.08</x:v>
      </x:c>
      <x:c r="R9" s="41" t="n">
        <x:f>Q9*(1+P9)</x:f>
        <x:v>1.2096000000000002</x:v>
      </x:c>
      <x:c r="S9" s="41" t="n">
        <x:f>R9*IF(A9="",0,IFERROR(VLOOKUP(A9,'14_市场基准价'!$A$6:$J$80,4,FALSE),0))*(1-'01_核心假设'!$B$15)</x:f>
        <x:v>1642.6368000000002</x:v>
      </x:c>
      <x:c r="T9" s="41" t="n">
        <x:f>S9-Q9*N9</x:f>
        <x:v>109.03680000000008</x:v>
      </x:c>
    </x:row>
    <x:row r="10">
      <x:c r="A10" s="30" t="str">
        <x:v>木柄矿镐</x:v>
      </x:c>
      <x:c r="B10" s="30" t="str">
        <x:v>工具</x:v>
      </x:c>
      <x:c r="C10" s="30" t="str">
        <x:v>炼气</x:v>
      </x:c>
      <x:c r="D10" s="30" t="n">
        <x:v>1</x:v>
      </x:c>
      <x:c r="E10" s="30" t="str">
        <x:v>青竹</x:v>
      </x:c>
      <x:c r="F10" s="30" t="n">
        <x:v>5</x:v>
      </x:c>
      <x:c r="G10" s="30" t="str">
        <x:v>赤铜矿</x:v>
      </x:c>
      <x:c r="H10" s="30" t="n">
        <x:v>3</x:v>
      </x:c>
      <x:c r="I10" s="30" t="str"/>
      <x:c r="J10" s="30" t="n">
        <x:v>0</x:v>
      </x:c>
      <x:c r="K10" s="30" t="n">
        <x:v>350</x:v>
      </x:c>
      <x:c r="L10" s="30" t="n">
        <x:v>14</x:v>
      </x:c>
      <x:c r="M10" s="30" t="str">
        <x:v>MVP</x:v>
      </x:c>
      <x:c r="N10" s="41" t="n">
        <x:f>F10*IF(E10="",0,IFERROR(VLOOKUP(E10,'14_市场基准价'!$A$6:$J$80,4,FALSE),0))+H10*IF(G10="",0,IFERROR(VLOOKUP(G10,'14_市场基准价'!$A$6:$J$80,4,FALSE),0))+J10*IF(I10="",0,IFERROR(VLOOKUP(I10,'14_市场基准价'!$A$6:$J$80,4,FALSE),0))</x:f>
        <x:v>19</x:v>
      </x:c>
      <x:c r="O10" s="62" t="n">
        <x:f>MIN('01_核心假设'!$B$22*'01_核心假设'!$B$18,'01_核心假设'!$B$20)</x:f>
        <x:v>0.08</x:v>
      </x:c>
      <x:c r="P10" s="62" t="n">
        <x:f>MIN('01_核心假设'!$B$22*'01_核心假设'!$B$19,'01_核心假设'!$B$21)</x:f>
        <x:v>0.12</x:v>
      </x:c>
      <x:c r="Q10" s="41" t="n">
        <x:f>'01_核心假设'!$B$6/(K10/(1+O10))</x:f>
        <x:v>11.108571428571429</x:v>
      </x:c>
      <x:c r="R10" s="41" t="n">
        <x:f>Q10*(1+P10)</x:f>
        <x:v>12.441600000000001</x:v>
      </x:c>
      <x:c r="S10" s="41" t="n">
        <x:f>R10*IF(A10="",0,IFERROR(VLOOKUP(A10,'14_市场基准价'!$A$6:$J$80,4,FALSE),0))*(1-'01_核心假设'!$B$15)</x:f>
        <x:v>241.36704</x:v>
      </x:c>
      <x:c r="T10" s="41" t="n">
        <x:f>S10-Q10*N10</x:f>
        <x:v>30.304182857142848</x:v>
      </x:c>
    </x:row>
    <x:row r="11">
      <x:c r="A11" s="30" t="str">
        <x:v>青铜矿镐</x:v>
      </x:c>
      <x:c r="B11" s="30" t="str">
        <x:v>工具</x:v>
      </x:c>
      <x:c r="C11" s="30" t="str">
        <x:v>炼气</x:v>
      </x:c>
      <x:c r="D11" s="30" t="n">
        <x:v>10</x:v>
      </x:c>
      <x:c r="E11" s="30" t="str">
        <x:v>青竹</x:v>
      </x:c>
      <x:c r="F11" s="30" t="n">
        <x:v>8</x:v>
      </x:c>
      <x:c r="G11" s="30" t="str">
        <x:v>赤铜矿</x:v>
      </x:c>
      <x:c r="H11" s="30" t="n">
        <x:v>22</x:v>
      </x:c>
      <x:c r="I11" s="30" t="str"/>
      <x:c r="J11" s="30" t="n">
        <x:v>0</x:v>
      </x:c>
      <x:c r="K11" s="30" t="n">
        <x:v>1000</x:v>
      </x:c>
      <x:c r="L11" s="30" t="n">
        <x:v>38</x:v>
      </x:c>
      <x:c r="M11" s="30" t="str">
        <x:v>MVP</x:v>
      </x:c>
      <x:c r="N11" s="41" t="n">
        <x:f>F11*IF(E11="",0,IFERROR(VLOOKUP(E11,'14_市场基准价'!$A$6:$J$80,4,FALSE),0))+H11*IF(G11="",0,IFERROR(VLOOKUP(G11,'14_市场基准价'!$A$6:$J$80,4,FALSE),0))+J11*IF(I11="",0,IFERROR(VLOOKUP(I11,'14_市场基准价'!$A$6:$J$80,4,FALSE),0))</x:f>
        <x:v>82</x:v>
      </x:c>
      <x:c r="O11" s="62" t="n">
        <x:f>MIN('01_核心假设'!$B$22*'01_核心假设'!$B$18,'01_核心假设'!$B$20)</x:f>
        <x:v>0.08</x:v>
      </x:c>
      <x:c r="P11" s="62" t="n">
        <x:f>MIN('01_核心假设'!$B$22*'01_核心假设'!$B$19,'01_核心假设'!$B$21)</x:f>
        <x:v>0.12</x:v>
      </x:c>
      <x:c r="Q11" s="41" t="n">
        <x:f>'01_核心假设'!$B$6/(K11/(1+O11))</x:f>
        <x:v>3.8880000000000003</x:v>
      </x:c>
      <x:c r="R11" s="41" t="n">
        <x:f>Q11*(1+P11)</x:f>
        <x:v>4.354560000000001</x:v>
      </x:c>
      <x:c r="S11" s="41" t="n">
        <x:f>R11*IF(A11="",0,IFERROR(VLOOKUP(A11,'14_市场基准价'!$A$6:$J$80,4,FALSE),0))*(1-'01_核心假设'!$B$15)</x:f>
        <x:v>633.5884800000001</x:v>
      </x:c>
      <x:c r="T11" s="41" t="n">
        <x:f>S11-Q11*N11</x:f>
        <x:v>314.7724800000001</x:v>
      </x:c>
    </x:row>
    <x:row r="12">
      <x:c r="A12" s="30" t="str">
        <x:v>玄铁矿镐</x:v>
      </x:c>
      <x:c r="B12" s="30" t="str">
        <x:v>工具</x:v>
      </x:c>
      <x:c r="C12" s="30" t="str">
        <x:v>炼气</x:v>
      </x:c>
      <x:c r="D12" s="30" t="n">
        <x:v>20</x:v>
      </x:c>
      <x:c r="E12" s="30" t="str">
        <x:v>铁木</x:v>
      </x:c>
      <x:c r="F12" s="30" t="n">
        <x:v>8</x:v>
      </x:c>
      <x:c r="G12" s="30" t="str">
        <x:v>玄铁矿</x:v>
      </x:c>
      <x:c r="H12" s="30" t="n">
        <x:v>28</x:v>
      </x:c>
      <x:c r="I12" s="30" t="str">
        <x:v>石甲</x:v>
      </x:c>
      <x:c r="J12" s="30" t="n">
        <x:v>2</x:v>
      </x:c>
      <x:c r="K12" s="30" t="n">
        <x:v>2000</x:v>
      </x:c>
      <x:c r="L12" s="30" t="n">
        <x:v>75</x:v>
      </x:c>
      <x:c r="M12" s="30" t="str">
        <x:v>MVP</x:v>
      </x:c>
      <x:c r="N12" s="41" t="n">
        <x:f>F12*IF(E12="",0,IFERROR(VLOOKUP(E12,'14_市场基准价'!$A$6:$J$80,4,FALSE),0))+H12*IF(G12="",0,IFERROR(VLOOKUP(G12,'14_市场基准价'!$A$6:$J$80,4,FALSE),0))+J12*IF(I12="",0,IFERROR(VLOOKUP(I12,'14_市场基准价'!$A$6:$J$80,4,FALSE),0))</x:f>
        <x:v>476</x:v>
      </x:c>
      <x:c r="O12" s="62" t="n">
        <x:f>MIN('01_核心假设'!$B$22*'01_核心假设'!$B$18,'01_核心假设'!$B$20)</x:f>
        <x:v>0.08</x:v>
      </x:c>
      <x:c r="P12" s="62" t="n">
        <x:f>MIN('01_核心假设'!$B$22*'01_核心假设'!$B$19,'01_核心假设'!$B$21)</x:f>
        <x:v>0.12</x:v>
      </x:c>
      <x:c r="Q12" s="41" t="n">
        <x:f>'01_核心假设'!$B$6/(K12/(1+O12))</x:f>
        <x:v>1.9440000000000002</x:v>
      </x:c>
      <x:c r="R12" s="41" t="n">
        <x:f>Q12*(1+P12)</x:f>
        <x:v>2.1772800000000005</x:v>
      </x:c>
      <x:c r="S12" s="41" t="n">
        <x:f>R12*IF(A12="",0,IFERROR(VLOOKUP(A12,'14_市场基准价'!$A$6:$J$80,4,FALSE),0))*(1-'01_核心假设'!$B$15)</x:f>
        <x:v>1098.2200320000002</x:v>
      </x:c>
      <x:c r="T12" s="41" t="n">
        <x:f>S12-Q12*N12</x:f>
        <x:v>172.87603200000012</x:v>
      </x:c>
    </x:row>
    <x:row r="13">
      <x:c r="A13" s="30" t="str">
        <x:v>粗制丹炉</x:v>
      </x:c>
      <x:c r="B13" s="30" t="str">
        <x:v>丹炉</x:v>
      </x:c>
      <x:c r="C13" s="30" t="str">
        <x:v>凡人</x:v>
      </x:c>
      <x:c r="D13" s="30" t="n">
        <x:v>1</x:v>
      </x:c>
      <x:c r="E13" s="30" t="str">
        <x:v>赤铜矿</x:v>
      </x:c>
      <x:c r="F13" s="30" t="n">
        <x:v>10</x:v>
      </x:c>
      <x:c r="G13" s="30" t="str">
        <x:v>青竹</x:v>
      </x:c>
      <x:c r="H13" s="30" t="n">
        <x:v>10</x:v>
      </x:c>
      <x:c r="I13" s="30" t="str"/>
      <x:c r="J13" s="30" t="n">
        <x:v>0</x:v>
      </x:c>
      <x:c r="K13" s="30" t="n">
        <x:v>600</x:v>
      </x:c>
      <x:c r="L13" s="30" t="n">
        <x:v>25</x:v>
      </x:c>
      <x:c r="M13" s="30" t="str">
        <x:v>MVP</x:v>
      </x:c>
      <x:c r="N13" s="41" t="n">
        <x:f>F13*IF(E13="",0,IFERROR(VLOOKUP(E13,'14_市场基准价'!$A$6:$J$80,4,FALSE),0))+H13*IF(G13="",0,IFERROR(VLOOKUP(G13,'14_市场基准价'!$A$6:$J$80,4,FALSE),0))+J13*IF(I13="",0,IFERROR(VLOOKUP(I13,'14_市场基准价'!$A$6:$J$80,4,FALSE),0))</x:f>
        <x:v>50</x:v>
      </x:c>
      <x:c r="O13" s="62" t="n">
        <x:f>MIN('01_核心假设'!$B$22*'01_核心假设'!$B$18,'01_核心假设'!$B$20)</x:f>
        <x:v>0.08</x:v>
      </x:c>
      <x:c r="P13" s="62" t="n">
        <x:f>MIN('01_核心假设'!$B$22*'01_核心假设'!$B$19,'01_核心假设'!$B$21)</x:f>
        <x:v>0.12</x:v>
      </x:c>
      <x:c r="Q13" s="41" t="n">
        <x:f>'01_核心假设'!$B$6/(K13/(1+O13))</x:f>
        <x:v>6.48</x:v>
      </x:c>
      <x:c r="R13" s="41" t="n">
        <x:f>Q13*(1+P13)</x:f>
        <x:v>7.257600000000001</x:v>
      </x:c>
      <x:c r="S13" s="41" t="n">
        <x:f>R13*IF(A13="",0,IFERROR(VLOOKUP(A13,'14_市场基准价'!$A$6:$J$80,4,FALSE),0))*(1-'01_核心假设'!$B$15)</x:f>
        <x:v>422.39232000000004</x:v>
      </x:c>
      <x:c r="T13" s="41" t="n">
        <x:f>S13-Q13*N13</x:f>
        <x:v>98.39232000000004</x:v>
      </x:c>
    </x:row>
    <x:row r="14">
      <x:c r="A14" s="30" t="str">
        <x:v>青铜丹炉</x:v>
      </x:c>
      <x:c r="B14" s="30" t="str">
        <x:v>丹炉</x:v>
      </x:c>
      <x:c r="C14" s="30" t="str">
        <x:v>炼气</x:v>
      </x:c>
      <x:c r="D14" s="30" t="n">
        <x:v>10</x:v>
      </x:c>
      <x:c r="E14" s="30" t="str">
        <x:v>赤铜矿</x:v>
      </x:c>
      <x:c r="F14" s="30" t="n">
        <x:v>40</x:v>
      </x:c>
      <x:c r="G14" s="30" t="str">
        <x:v>玄铁矿</x:v>
      </x:c>
      <x:c r="H14" s="30" t="n">
        <x:v>8</x:v>
      </x:c>
      <x:c r="I14" s="30" t="str"/>
      <x:c r="J14" s="30" t="n">
        <x:v>0</x:v>
      </x:c>
      <x:c r="K14" s="30" t="n">
        <x:v>1800</x:v>
      </x:c>
      <x:c r="L14" s="30" t="n">
        <x:v>65</x:v>
      </x:c>
      <x:c r="M14" s="30" t="str">
        <x:v>MVP</x:v>
      </x:c>
      <x:c r="N14" s="41" t="n">
        <x:f>F14*IF(E14="",0,IFERROR(VLOOKUP(E14,'14_市场基准价'!$A$6:$J$80,4,FALSE),0))+H14*IF(G14="",0,IFERROR(VLOOKUP(G14,'14_市场基准价'!$A$6:$J$80,4,FALSE),0))+J14*IF(I14="",0,IFERROR(VLOOKUP(I14,'14_市场基准价'!$A$6:$J$80,4,FALSE),0))</x:f>
        <x:v>216</x:v>
      </x:c>
      <x:c r="O14" s="62" t="n">
        <x:f>MIN('01_核心假设'!$B$22*'01_核心假设'!$B$18,'01_核心假设'!$B$20)</x:f>
        <x:v>0.08</x:v>
      </x:c>
      <x:c r="P14" s="62" t="n">
        <x:f>MIN('01_核心假设'!$B$22*'01_核心假设'!$B$19,'01_核心假设'!$B$21)</x:f>
        <x:v>0.12</x:v>
      </x:c>
      <x:c r="Q14" s="41" t="n">
        <x:f>'01_核心假设'!$B$6/(K14/(1+O14))</x:f>
        <x:v>2.16</x:v>
      </x:c>
      <x:c r="R14" s="41" t="n">
        <x:f>Q14*(1+P14)</x:f>
        <x:v>2.4192000000000005</x:v>
      </x:c>
      <x:c r="S14" s="41" t="n">
        <x:f>R14*IF(A14="",0,IFERROR(VLOOKUP(A14,'14_市场基准价'!$A$6:$J$80,4,FALSE),0))*(1-'01_核心假设'!$B$15)</x:f>
        <x:v>891.7171200000001</x:v>
      </x:c>
      <x:c r="T14" s="41" t="n">
        <x:f>S14-Q14*N14</x:f>
        <x:v>425.1571200000001</x:v>
      </x:c>
    </x:row>
    <x:row r="15">
      <x:c r="A15" s="30" t="str">
        <x:v>玄火丹炉</x:v>
      </x:c>
      <x:c r="B15" s="30" t="str">
        <x:v>丹炉</x:v>
      </x:c>
      <x:c r="C15" s="30" t="str">
        <x:v>炼气</x:v>
      </x:c>
      <x:c r="D15" s="30" t="n">
        <x:v>25</x:v>
      </x:c>
      <x:c r="E15" s="30" t="str">
        <x:v>玄铁矿</x:v>
      </x:c>
      <x:c r="F15" s="30" t="n">
        <x:v>35</x:v>
      </x:c>
      <x:c r="G15" s="30" t="str">
        <x:v>星纹钢</x:v>
      </x:c>
      <x:c r="H15" s="30" t="n">
        <x:v>8</x:v>
      </x:c>
      <x:c r="I15" s="30" t="str">
        <x:v>妖丹</x:v>
      </x:c>
      <x:c r="J15" s="30" t="n">
        <x:v>2</x:v>
      </x:c>
      <x:c r="K15" s="30" t="n">
        <x:v>3500</x:v>
      </x:c>
      <x:c r="L15" s="30" t="n">
        <x:v>130</x:v>
      </x:c>
      <x:c r="M15" s="30" t="str">
        <x:v>MVP</x:v>
      </x:c>
      <x:c r="N15" s="41" t="n">
        <x:f>F15*IF(E15="",0,IFERROR(VLOOKUP(E15,'14_市场基准价'!$A$6:$J$80,4,FALSE),0))+H15*IF(G15="",0,IFERROR(VLOOKUP(G15,'14_市场基准价'!$A$6:$J$80,4,FALSE),0))+J15*IF(I15="",0,IFERROR(VLOOKUP(I15,'14_市场基准价'!$A$6:$J$80,4,FALSE),0))</x:f>
        <x:v>880</x:v>
      </x:c>
      <x:c r="O15" s="62" t="n">
        <x:f>MIN('01_核心假设'!$B$22*'01_核心假设'!$B$18,'01_核心假设'!$B$20)</x:f>
        <x:v>0.08</x:v>
      </x:c>
      <x:c r="P15" s="62" t="n">
        <x:f>MIN('01_核心假设'!$B$22*'01_核心假设'!$B$19,'01_核心假设'!$B$21)</x:f>
        <x:v>0.12</x:v>
      </x:c>
      <x:c r="Q15" s="41" t="n">
        <x:f>'01_核心假设'!$B$6/(K15/(1+O15))</x:f>
        <x:v>1.110857142857143</x:v>
      </x:c>
      <x:c r="R15" s="41" t="n">
        <x:f>Q15*(1+P15)</x:f>
        <x:v>1.2441600000000002</x:v>
      </x:c>
      <x:c r="S15" s="41" t="n">
        <x:f>R15*IF(A15="",0,IFERROR(VLOOKUP(A15,'14_市场基准价'!$A$6:$J$80,4,FALSE),0))*(1-'01_核心假设'!$B$15)</x:f>
        <x:v>1448.20224</x:v>
      </x:c>
      <x:c r="T15" s="41" t="n">
        <x:f>S15-Q15*N15</x:f>
        <x:v>470.64795428571426</x:v>
      </x:c>
    </x:row>
    <x:row r="16">
      <x:c r="A16" s="30" t="str">
        <x:v>粗制剑</x:v>
      </x:c>
      <x:c r="B16" s="30" t="str">
        <x:v>武器</x:v>
      </x:c>
      <x:c r="C16" s="30" t="str">
        <x:v>凡人</x:v>
      </x:c>
      <x:c r="D16" s="30" t="n">
        <x:v>1</x:v>
      </x:c>
      <x:c r="E16" s="30" t="str">
        <x:v>赤铜矿</x:v>
      </x:c>
      <x:c r="F16" s="30" t="n">
        <x:v>8</x:v>
      </x:c>
      <x:c r="G16" s="30" t="str">
        <x:v>青竹</x:v>
      </x:c>
      <x:c r="H16" s="30" t="n">
        <x:v>4</x:v>
      </x:c>
      <x:c r="I16" s="30" t="str"/>
      <x:c r="J16" s="30" t="n">
        <x:v>0</x:v>
      </x:c>
      <x:c r="K16" s="30" t="n">
        <x:v>500</x:v>
      </x:c>
      <x:c r="L16" s="30" t="n">
        <x:v>20</x:v>
      </x:c>
      <x:c r="M16" s="30" t="str">
        <x:v>MVP</x:v>
      </x:c>
      <x:c r="N16" s="41" t="n">
        <x:f>F16*IF(E16="",0,IFERROR(VLOOKUP(E16,'14_市场基准价'!$A$6:$J$80,4,FALSE),0))+H16*IF(G16="",0,IFERROR(VLOOKUP(G16,'14_市场基准价'!$A$6:$J$80,4,FALSE),0))+J16*IF(I16="",0,IFERROR(VLOOKUP(I16,'14_市场基准价'!$A$6:$J$80,4,FALSE),0))</x:f>
        <x:v>32</x:v>
      </x:c>
      <x:c r="O16" s="62" t="n">
        <x:f>MIN('01_核心假设'!$B$22*'01_核心假设'!$B$18,'01_核心假设'!$B$20)</x:f>
        <x:v>0.08</x:v>
      </x:c>
      <x:c r="P16" s="62" t="n">
        <x:f>MIN('01_核心假设'!$B$22*'01_核心假设'!$B$19,'01_核心假设'!$B$21)</x:f>
        <x:v>0.12</x:v>
      </x:c>
      <x:c r="Q16" s="41" t="n">
        <x:f>'01_核心假设'!$B$6/(K16/(1+O16))</x:f>
        <x:v>7.776000000000001</x:v>
      </x:c>
      <x:c r="R16" s="41" t="n">
        <x:f>Q16*(1+P16)</x:f>
        <x:v>8.709120000000002</x:v>
      </x:c>
      <x:c r="S16" s="41" t="n">
        <x:f>R16*IF(A16="",0,IFERROR(VLOOKUP(A16,'14_市场基准价'!$A$6:$J$80,4,FALSE),0))*(1-'01_核心假设'!$B$15)</x:f>
        <x:v>422.3923200000001</x:v>
      </x:c>
      <x:c r="T16" s="41" t="n">
        <x:f>S16-Q16*N16</x:f>
        <x:v>173.56032000000008</x:v>
      </x:c>
    </x:row>
    <x:row r="17">
      <x:c r="A17" s="30" t="str">
        <x:v>青铜剑</x:v>
      </x:c>
      <x:c r="B17" s="30" t="str">
        <x:v>武器</x:v>
      </x:c>
      <x:c r="C17" s="30" t="str">
        <x:v>炼气</x:v>
      </x:c>
      <x:c r="D17" s="30" t="n">
        <x:v>10</x:v>
      </x:c>
      <x:c r="E17" s="30" t="str">
        <x:v>赤铜矿</x:v>
      </x:c>
      <x:c r="F17" s="30" t="n">
        <x:v>45</x:v>
      </x:c>
      <x:c r="G17" s="30" t="str">
        <x:v>青竹</x:v>
      </x:c>
      <x:c r="H17" s="30" t="n">
        <x:v>10</x:v>
      </x:c>
      <x:c r="I17" s="30" t="str"/>
      <x:c r="J17" s="30" t="n">
        <x:v>0</x:v>
      </x:c>
      <x:c r="K17" s="30" t="n">
        <x:v>1500</x:v>
      </x:c>
      <x:c r="L17" s="30" t="n">
        <x:v>55</x:v>
      </x:c>
      <x:c r="M17" s="30" t="str">
        <x:v>MVP</x:v>
      </x:c>
      <x:c r="N17" s="41" t="n">
        <x:f>F17*IF(E17="",0,IFERROR(VLOOKUP(E17,'14_市场基准价'!$A$6:$J$80,4,FALSE),0))+H17*IF(G17="",0,IFERROR(VLOOKUP(G17,'14_市场基准价'!$A$6:$J$80,4,FALSE),0))+J17*IF(I17="",0,IFERROR(VLOOKUP(I17,'14_市场基准价'!$A$6:$J$80,4,FALSE),0))</x:f>
        <x:v>155</x:v>
      </x:c>
      <x:c r="O17" s="62" t="n">
        <x:f>MIN('01_核心假设'!$B$22*'01_核心假设'!$B$18,'01_核心假设'!$B$20)</x:f>
        <x:v>0.08</x:v>
      </x:c>
      <x:c r="P17" s="62" t="n">
        <x:f>MIN('01_核心假设'!$B$22*'01_核心假设'!$B$19,'01_核心假设'!$B$21)</x:f>
        <x:v>0.12</x:v>
      </x:c>
      <x:c r="Q17" s="41" t="n">
        <x:f>'01_核心假设'!$B$6/(K17/(1+O17))</x:f>
        <x:v>2.5920000000000005</x:v>
      </x:c>
      <x:c r="R17" s="41" t="n">
        <x:f>Q17*(1+P17)</x:f>
        <x:v>2.9030400000000007</x:v>
      </x:c>
      <x:c r="S17" s="41" t="n">
        <x:f>R17*IF(A17="",0,IFERROR(VLOOKUP(A17,'14_市场基准价'!$A$6:$J$80,4,FALSE),0))*(1-'01_核心假设'!$B$15)</x:f>
        <x:v>732.1466880000002</x:v>
      </x:c>
      <x:c r="T17" s="41" t="n">
        <x:f>S17-Q17*N17</x:f>
        <x:v>330.38668800000005</x:v>
      </x:c>
    </x:row>
    <x:row r="18">
      <x:c r="A18" s="30" t="str">
        <x:v>玄铁剑</x:v>
      </x:c>
      <x:c r="B18" s="30" t="str">
        <x:v>武器</x:v>
      </x:c>
      <x:c r="C18" s="30" t="str">
        <x:v>炼气</x:v>
      </x:c>
      <x:c r="D18" s="30" t="n">
        <x:v>20</x:v>
      </x:c>
      <x:c r="E18" s="30" t="str">
        <x:v>玄铁矿</x:v>
      </x:c>
      <x:c r="F18" s="30" t="n">
        <x:v>45</x:v>
      </x:c>
      <x:c r="G18" s="30" t="str">
        <x:v>铁木</x:v>
      </x:c>
      <x:c r="H18" s="30" t="n">
        <x:v>10</x:v>
      </x:c>
      <x:c r="I18" s="30" t="str">
        <x:v>妖狼牙</x:v>
      </x:c>
      <x:c r="J18" s="30" t="n">
        <x:v>3</x:v>
      </x:c>
      <x:c r="K18" s="30" t="n">
        <x:v>3000</x:v>
      </x:c>
      <x:c r="L18" s="30" t="n">
        <x:v>110</x:v>
      </x:c>
      <x:c r="M18" s="30" t="str">
        <x:v>MVP</x:v>
      </x:c>
      <x:c r="N18" s="41" t="n">
        <x:f>F18*IF(E18="",0,IFERROR(VLOOKUP(E18,'14_市场基准价'!$A$6:$J$80,4,FALSE),0))+H18*IF(G18="",0,IFERROR(VLOOKUP(G18,'14_市场基准价'!$A$6:$J$80,4,FALSE),0))+J18*IF(I18="",0,IFERROR(VLOOKUP(I18,'14_市场基准价'!$A$6:$J$80,4,FALSE),0))</x:f>
        <x:v>715</x:v>
      </x:c>
      <x:c r="O18" s="62" t="n">
        <x:f>MIN('01_核心假设'!$B$22*'01_核心假设'!$B$18,'01_核心假设'!$B$20)</x:f>
        <x:v>0.08</x:v>
      </x:c>
      <x:c r="P18" s="62" t="n">
        <x:f>MIN('01_核心假设'!$B$22*'01_核心假设'!$B$19,'01_核心假设'!$B$21)</x:f>
        <x:v>0.12</x:v>
      </x:c>
      <x:c r="Q18" s="41" t="n">
        <x:f>'01_核心假设'!$B$6/(K18/(1+O18))</x:f>
        <x:v>1.2960000000000003</x:v>
      </x:c>
      <x:c r="R18" s="41" t="n">
        <x:f>Q18*(1+P18)</x:f>
        <x:v>1.4515200000000004</x:v>
      </x:c>
      <x:c r="S18" s="41" t="n">
        <x:f>R18*IF(A18="",0,IFERROR(VLOOKUP(A18,'14_市场基准价'!$A$6:$J$80,4,FALSE),0))*(1-'01_核心假设'!$B$15)</x:f>
        <x:v>1267.1769600000002</x:v>
      </x:c>
      <x:c r="T18" s="41" t="n">
        <x:f>S18-Q18*N18</x:f>
        <x:v>340.53696</x:v>
      </x:c>
    </x:row>
    <x:row r="19">
      <x:c r="A19" s="30" t="str">
        <x:v>灵玉剑</x:v>
      </x:c>
      <x:c r="B19" s="30" t="str">
        <x:v>武器</x:v>
      </x:c>
      <x:c r="C19" s="30" t="str">
        <x:v>筑基</x:v>
      </x:c>
      <x:c r="D19" s="30" t="n">
        <x:v>35</x:v>
      </x:c>
      <x:c r="E19" s="30" t="str">
        <x:v>灵玉矿</x:v>
      </x:c>
      <x:c r="F19" s="30" t="n">
        <x:v>20</x:v>
      </x:c>
      <x:c r="G19" s="30" t="str">
        <x:v>星纹钢</x:v>
      </x:c>
      <x:c r="H19" s="30" t="n">
        <x:v>20</x:v>
      </x:c>
      <x:c r="I19" s="30" t="str">
        <x:v>黑风晶</x:v>
      </x:c>
      <x:c r="J19" s="30" t="n">
        <x:v>2</x:v>
      </x:c>
      <x:c r="K19" s="30" t="n">
        <x:v>6000</x:v>
      </x:c>
      <x:c r="L19" s="30" t="n">
        <x:v>240</x:v>
      </x:c>
      <x:c r="M19" s="30" t="str">
        <x:v>MVP Endgame</x:v>
      </x:c>
      <x:c r="N19" s="41" t="n">
        <x:f>F19*IF(E19="",0,IFERROR(VLOOKUP(E19,'14_市场基准价'!$A$6:$J$80,4,FALSE),0))+H19*IF(G19="",0,IFERROR(VLOOKUP(G19,'14_市场基准价'!$A$6:$J$80,4,FALSE),0))+J19*IF(I19="",0,IFERROR(VLOOKUP(I19,'14_市场基准价'!$A$6:$J$80,4,FALSE),0))</x:f>
        <x:v>2820</x:v>
      </x:c>
      <x:c r="O19" s="62" t="n">
        <x:f>MIN('01_核心假设'!$B$22*'01_核心假设'!$B$18,'01_核心假设'!$B$20)</x:f>
        <x:v>0.08</x:v>
      </x:c>
      <x:c r="P19" s="62" t="n">
        <x:f>MIN('01_核心假设'!$B$22*'01_核心假设'!$B$19,'01_核心假设'!$B$21)</x:f>
        <x:v>0.12</x:v>
      </x:c>
      <x:c r="Q19" s="41" t="n">
        <x:f>'01_核心假设'!$B$6/(K19/(1+O19))</x:f>
        <x:v>0.6480000000000001</x:v>
      </x:c>
      <x:c r="R19" s="41" t="n">
        <x:f>Q19*(1+P19)</x:f>
        <x:v>0.7257600000000002</x:v>
      </x:c>
      <x:c r="S19" s="41" t="n">
        <x:f>R19*IF(A19="",0,IFERROR(VLOOKUP(A19,'14_市场基准价'!$A$6:$J$80,4,FALSE),0))*(1-'01_核心假设'!$B$15)</x:f>
        <x:v>1971.1641600000005</x:v>
      </x:c>
      <x:c r="T19" s="41" t="n">
        <x:f>S19-Q19*N19</x:f>
        <x:v>143.80416000000014</x:v>
      </x:c>
    </x:row>
    <x:row r="20">
      <x:c r="A20" s="30" t="str">
        <x:v>玄铁甲</x:v>
      </x:c>
      <x:c r="B20" s="30" t="str">
        <x:v>防具</x:v>
      </x:c>
      <x:c r="C20" s="30" t="str">
        <x:v>炼气</x:v>
      </x:c>
      <x:c r="D20" s="30" t="n">
        <x:v>22</x:v>
      </x:c>
      <x:c r="E20" s="30" t="str">
        <x:v>玄铁矿</x:v>
      </x:c>
      <x:c r="F20" s="30" t="n">
        <x:v>40</x:v>
      </x:c>
      <x:c r="G20" s="30" t="str">
        <x:v>石甲</x:v>
      </x:c>
      <x:c r="H20" s="30" t="n">
        <x:v>8</x:v>
      </x:c>
      <x:c r="I20" s="30" t="str"/>
      <x:c r="J20" s="30" t="n">
        <x:v>0</x:v>
      </x:c>
      <x:c r="K20" s="30" t="n">
        <x:v>3250</x:v>
      </x:c>
      <x:c r="L20" s="30" t="n">
        <x:v>115</x:v>
      </x:c>
      <x:c r="M20" s="30" t="str">
        <x:v>MVP</x:v>
      </x:c>
      <x:c r="N20" s="41" t="n">
        <x:f>F20*IF(E20="",0,IFERROR(VLOOKUP(E20,'14_市场基准价'!$A$6:$J$80,4,FALSE),0))+H20*IF(G20="",0,IFERROR(VLOOKUP(G20,'14_市场基准价'!$A$6:$J$80,4,FALSE),0))+J20*IF(I20="",0,IFERROR(VLOOKUP(I20,'14_市场基准价'!$A$6:$J$80,4,FALSE),0))</x:f>
        <x:v>720</x:v>
      </x:c>
      <x:c r="O20" s="62" t="n">
        <x:f>MIN('01_核心假设'!$B$22*'01_核心假设'!$B$18,'01_核心假设'!$B$20)</x:f>
        <x:v>0.08</x:v>
      </x:c>
      <x:c r="P20" s="62" t="n">
        <x:f>MIN('01_核心假设'!$B$22*'01_核心假设'!$B$19,'01_核心假设'!$B$21)</x:f>
        <x:v>0.12</x:v>
      </x:c>
      <x:c r="Q20" s="41" t="n">
        <x:f>'01_核心假设'!$B$6/(K20/(1+O20))</x:f>
        <x:v>1.1963076923076923</x:v>
      </x:c>
      <x:c r="R20" s="41" t="n">
        <x:f>Q20*(1+P20)</x:f>
        <x:v>1.3398646153846154</x:v>
      </x:c>
      <x:c r="S20" s="41" t="n">
        <x:f>R20*IF(A20="",0,IFERROR(VLOOKUP(A20,'14_市场基准价'!$A$6:$J$80,4,FALSE),0))*(1-'01_核心假设'!$B$15)</x:f>
        <x:v>1104.7183753846155</x:v>
      </x:c>
      <x:c r="T20" s="41" t="n">
        <x:f>S20-Q20*N20</x:f>
        <x:v>243.376836923077</x:v>
      </x:c>
    </x:row>
    <x:row r="21">
      <x:c r="A21" s="31" t="str">
        <x:v>灵玉法袍</x:v>
      </x:c>
      <x:c r="B21" s="31" t="str">
        <x:v>防具</x:v>
      </x:c>
      <x:c r="C21" s="31" t="str">
        <x:v>筑基</x:v>
      </x:c>
      <x:c r="D21" s="31" t="n">
        <x:v>38</x:v>
      </x:c>
      <x:c r="E21" s="31" t="str">
        <x:v>灵玉矿</x:v>
      </x:c>
      <x:c r="F21" s="31" t="n">
        <x:v>18</x:v>
      </x:c>
      <x:c r="G21" s="31" t="str">
        <x:v>地脉参</x:v>
      </x:c>
      <x:c r="H21" s="31" t="n">
        <x:v>5</x:v>
      </x:c>
      <x:c r="I21" s="31" t="str">
        <x:v>黑风晶</x:v>
      </x:c>
      <x:c r="J21" s="31" t="n">
        <x:v>2</x:v>
      </x:c>
      <x:c r="K21" s="31" t="n">
        <x:v>5500</x:v>
      </x:c>
      <x:c r="L21" s="31" t="n">
        <x:v>220</x:v>
      </x:c>
      <x:c r="M21" s="31" t="str">
        <x:v>MVP Endgame</x:v>
      </x:c>
      <x:c r="N21" s="43" t="n">
        <x:f>F21*IF(E21="",0,IFERROR(VLOOKUP(E21,'14_市场基准价'!$A$6:$J$80,4,FALSE),0))+H21*IF(G21="",0,IFERROR(VLOOKUP(G21,'14_市场基准价'!$A$6:$J$80,4,FALSE),0))+J21*IF(I21="",0,IFERROR(VLOOKUP(I21,'14_市场基准价'!$A$6:$J$80,4,FALSE),0))</x:f>
        <x:v>2185</x:v>
      </x:c>
      <x:c r="O21" s="63" t="n">
        <x:f>MIN('01_核心假设'!$B$22*'01_核心假设'!$B$18,'01_核心假设'!$B$20)</x:f>
        <x:v>0.08</x:v>
      </x:c>
      <x:c r="P21" s="63" t="n">
        <x:f>MIN('01_核心假设'!$B$22*'01_核心假设'!$B$19,'01_核心假设'!$B$21)</x:f>
        <x:v>0.12</x:v>
      </x:c>
      <x:c r="Q21" s="43" t="n">
        <x:f>'01_核心假设'!$B$6/(K21/(1+O21))</x:f>
        <x:v>0.7069090909090909</x:v>
      </x:c>
      <x:c r="R21" s="43" t="n">
        <x:f>Q21*(1+P21)</x:f>
        <x:v>0.7917381818181819</x:v>
      </x:c>
      <x:c r="S21" s="43" t="n">
        <x:f>R21*IF(A21="",0,IFERROR(VLOOKUP(A21,'14_市场基准价'!$A$6:$J$80,4,FALSE),0))*(1-'01_核心假设'!$B$15)</x:f>
        <x:v>1996.7636945454547</x:v>
      </x:c>
      <x:c r="T21" s="43" t="n">
        <x:f>S21-Q21*N21</x:f>
        <x:v>452.1673309090909</x:v>
      </x:c>
    </x:row>
  </x:sheetData>
  <x:mergeCells>
    <x:mergeCell ref="A1:T1"/>
    <x:mergeCell ref="A2:T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5" hidden="0" customWidth="1"/>
  </x:cols>
  <x:sheetData>
    <x:row r="1" ht="30" customHeight="1">
      <x:c r="A1" s="3" t="str">
        <x:v>工具梯度与投资回本</x:v>
      </x:c>
      <x:c r="B1" s="3" t="str">
        <x:v>工具梯度与投资回本</x:v>
      </x:c>
      <x:c r="C1" s="3" t="str">
        <x:v>工具梯度与投资回本</x:v>
      </x:c>
      <x:c r="D1" s="3" t="str">
        <x:v>工具梯度与投资回本</x:v>
      </x:c>
      <x:c r="E1" s="3" t="str">
        <x:v>工具梯度与投资回本</x:v>
      </x:c>
      <x:c r="F1" s="3" t="str">
        <x:v>工具梯度与投资回本</x:v>
      </x:c>
      <x:c r="G1" s="3" t="str">
        <x:v>工具梯度与投资回本</x:v>
      </x:c>
      <x:c r="H1" s="3" t="str">
        <x:v>工具梯度与投资回本</x:v>
      </x:c>
      <x:c r="I1" s="3" t="str">
        <x:v>工具梯度与投资回本</x:v>
      </x:c>
      <x:c r="J1" s="3" t="str">
        <x:v>工具梯度与投资回本</x:v>
      </x:c>
      <x:c r="K1" s="3" t="str">
        <x:v>工具梯度与投资回本</x:v>
      </x:c>
      <x:c r="L1" s="3" t="str">
        <x:v>工具梯度与投资回本</x:v>
      </x:c>
      <x:c r="M1" s="3" t="str">
        <x:v>工具梯度与投资回本</x:v>
      </x:c>
    </x:row>
    <x:row r="2">
      <x:c r="A2" s="7" t="str">
        <x:v>连续XP成长中插入阶段性工具跃迁。回本时间按标准劳动价值与相对效率提升估算，适合快速调整工具成本和增益。</x:v>
      </x:c>
      <x:c r="B2" s="7" t="str">
        <x:v>连续XP成长中插入阶段性工具跃迁。回本时间按标准劳动价值与相对效率提升估算，适合快速调整工具成本和增益。</x:v>
      </x:c>
      <x:c r="C2" s="7" t="str">
        <x:v>连续XP成长中插入阶段性工具跃迁。回本时间按标准劳动价值与相对效率提升估算，适合快速调整工具成本和增益。</x:v>
      </x:c>
      <x:c r="D2" s="7" t="str">
        <x:v>连续XP成长中插入阶段性工具跃迁。回本时间按标准劳动价值与相对效率提升估算，适合快速调整工具成本和增益。</x:v>
      </x:c>
      <x:c r="E2" s="7" t="str">
        <x:v>连续XP成长中插入阶段性工具跃迁。回本时间按标准劳动价值与相对效率提升估算，适合快速调整工具成本和增益。</x:v>
      </x:c>
      <x:c r="F2" s="7" t="str">
        <x:v>连续XP成长中插入阶段性工具跃迁。回本时间按标准劳动价值与相对效率提升估算，适合快速调整工具成本和增益。</x:v>
      </x:c>
      <x:c r="G2" s="7" t="str">
        <x:v>连续XP成长中插入阶段性工具跃迁。回本时间按标准劳动价值与相对效率提升估算，适合快速调整工具成本和增益。</x:v>
      </x:c>
      <x:c r="H2" s="7" t="str">
        <x:v>连续XP成长中插入阶段性工具跃迁。回本时间按标准劳动价值与相对效率提升估算，适合快速调整工具成本和增益。</x:v>
      </x:c>
      <x:c r="I2" s="7" t="str">
        <x:v>连续XP成长中插入阶段性工具跃迁。回本时间按标准劳动价值与相对效率提升估算，适合快速调整工具成本和增益。</x:v>
      </x:c>
      <x:c r="J2" s="7" t="str">
        <x:v>连续XP成长中插入阶段性工具跃迁。回本时间按标准劳动价值与相对效率提升估算，适合快速调整工具成本和增益。</x:v>
      </x:c>
      <x:c r="K2" s="7" t="str">
        <x:v>连续XP成长中插入阶段性工具跃迁。回本时间按标准劳动价值与相对效率提升估算，适合快速调整工具成本和增益。</x:v>
      </x:c>
      <x:c r="L2" s="7" t="str">
        <x:v>连续XP成长中插入阶段性工具跃迁。回本时间按标准劳动价值与相对效率提升估算，适合快速调整工具成本和增益。</x:v>
      </x:c>
      <x:c r="M2" s="7" t="str">
        <x:v>连续XP成长中插入阶段性工具跃迁。回本时间按标准劳动价值与相对效率提升估算，适合快速调整工具成本和增益。</x:v>
      </x:c>
    </x:row>
    <x:row r="3">
      <x:c r="A3" s="7" t="str">
        <x:v>连续XP成长中插入阶段性工具跃迁。回本时间按标准劳动价值与相对效率提升估算，适合快速调整工具成本和增益。</x:v>
      </x:c>
      <x:c r="B3" s="7" t="str">
        <x:v>连续XP成长中插入阶段性工具跃迁。回本时间按标准劳动价值与相对效率提升估算，适合快速调整工具成本和增益。</x:v>
      </x:c>
      <x:c r="C3" s="7" t="str">
        <x:v>连续XP成长中插入阶段性工具跃迁。回本时间按标准劳动价值与相对效率提升估算，适合快速调整工具成本和增益。</x:v>
      </x:c>
      <x:c r="D3" s="7" t="str">
        <x:v>连续XP成长中插入阶段性工具跃迁。回本时间按标准劳动价值与相对效率提升估算，适合快速调整工具成本和增益。</x:v>
      </x:c>
      <x:c r="E3" s="7" t="str">
        <x:v>连续XP成长中插入阶段性工具跃迁。回本时间按标准劳动价值与相对效率提升估算，适合快速调整工具成本和增益。</x:v>
      </x:c>
      <x:c r="F3" s="7" t="str">
        <x:v>连续XP成长中插入阶段性工具跃迁。回本时间按标准劳动价值与相对效率提升估算，适合快速调整工具成本和增益。</x:v>
      </x:c>
      <x:c r="G3" s="7" t="str">
        <x:v>连续XP成长中插入阶段性工具跃迁。回本时间按标准劳动价值与相对效率提升估算，适合快速调整工具成本和增益。</x:v>
      </x:c>
      <x:c r="H3" s="7" t="str">
        <x:v>连续XP成长中插入阶段性工具跃迁。回本时间按标准劳动价值与相对效率提升估算，适合快速调整工具成本和增益。</x:v>
      </x:c>
      <x:c r="I3" s="7" t="str">
        <x:v>连续XP成长中插入阶段性工具跃迁。回本时间按标准劳动价值与相对效率提升估算，适合快速调整工具成本和增益。</x:v>
      </x:c>
      <x:c r="J3" s="7" t="str">
        <x:v>连续XP成长中插入阶段性工具跃迁。回本时间按标准劳动价值与相对效率提升估算，适合快速调整工具成本和增益。</x:v>
      </x:c>
      <x:c r="K3" s="7" t="str">
        <x:v>连续XP成长中插入阶段性工具跃迁。回本时间按标准劳动价值与相对效率提升估算，适合快速调整工具成本和增益。</x:v>
      </x:c>
      <x:c r="L3" s="7" t="str">
        <x:v>连续XP成长中插入阶段性工具跃迁。回本时间按标准劳动价值与相对效率提升估算，适合快速调整工具成本和增益。</x:v>
      </x:c>
      <x:c r="M3" s="7" t="str">
        <x:v>连续XP成长中插入阶段性工具跃迁。回本时间按标准劳动价值与相对效率提升估算，适合快速调整工具成本和增益。</x:v>
      </x:c>
    </x:row>
    <x:row r="5" ht="28" customHeight="1">
      <x:c r="A5" s="19" t="str">
        <x:v>工具</x:v>
      </x:c>
      <x:c r="B5" s="20" t="str">
        <x:v>对应技能</x:v>
      </x:c>
      <x:c r="C5" s="20" t="str">
        <x:v>境界</x:v>
      </x:c>
      <x:c r="D5" s="20" t="str">
        <x:v>等级要求</x:v>
      </x:c>
      <x:c r="E5" s="20" t="str">
        <x:v>速度加成</x:v>
      </x:c>
      <x:c r="F5" s="20" t="str">
        <x:v>效率加成</x:v>
      </x:c>
      <x:c r="G5" s="20" t="str">
        <x:v>范围</x:v>
      </x:c>
      <x:c r="H5" s="20" t="str">
        <x:v>市场价格</x:v>
      </x:c>
      <x:c r="I5" s="20" t="str">
        <x:v>制造成本</x:v>
      </x:c>
      <x:c r="J5" s="20" t="str">
        <x:v>总效率倍率</x:v>
      </x:c>
      <x:c r="K5" s="20" t="str">
        <x:v>较前阶提升</x:v>
      </x:c>
      <x:c r="L5" s="20" t="str">
        <x:v>每小时新增价值</x:v>
      </x:c>
      <x:c r="M5" s="21" t="str">
        <x:v>购买回本小时</x:v>
      </x:c>
    </x:row>
    <x:row r="6">
      <x:c r="A6" s="29" t="str">
        <x:v>木柄药锄</x:v>
      </x:c>
      <x:c r="B6" s="29" t="str">
        <x:v>采药</x:v>
      </x:c>
      <x:c r="C6" s="29" t="str">
        <x:v>凡人</x:v>
      </x:c>
      <x:c r="D6" s="29" t="n">
        <x:v>1</x:v>
      </x:c>
      <x:c r="E6" s="70" t="n">
        <x:v>0</x:v>
      </x:c>
      <x:c r="F6" s="70" t="n">
        <x:v>0</x:v>
      </x:c>
      <x:c r="G6" s="29" t="str">
        <x:v>MVP</x:v>
      </x:c>
      <x:c r="H6" s="45" t="n">
        <x:f>IF(A6="",0,IFERROR(VLOOKUP(A6,'14_市场基准价'!$A$6:$J$80,4,FALSE),0))</x:f>
        <x:v>20</x:v>
      </x:c>
      <x:c r="I6" s="45" t="n">
        <x:f>IFERROR(VLOOKUP(A6,'07_炼器配方'!$A$6:$T$40,14,FALSE),H6)</x:f>
        <x:v>16</x:v>
      </x:c>
      <x:c r="J6" s="61" t="n">
        <x:f>(1+E6)*(1+F6)</x:f>
        <x:v>1</x:v>
      </x:c>
      <x:c r="K6" s="61" t="n">
        <x:f>J6/1-1</x:f>
        <x:v>0</x:v>
      </x:c>
      <x:c r="L6" s="39" t="n">
        <x:f>K6*'01_核心假设'!$B$14</x:f>
        <x:v>0</x:v>
      </x:c>
      <x:c r="M6" s="39" t="n">
        <x:f>IF(L6&lt;=0,0,H6/L6)</x:f>
        <x:v>0</x:v>
      </x:c>
    </x:row>
    <x:row r="7">
      <x:c r="A7" s="30" t="str">
        <x:v>青铜药锄</x:v>
      </x:c>
      <x:c r="B7" s="30" t="str">
        <x:v>采药</x:v>
      </x:c>
      <x:c r="C7" s="30" t="str">
        <x:v>炼气</x:v>
      </x:c>
      <x:c r="D7" s="30" t="n">
        <x:v>10</x:v>
      </x:c>
      <x:c r="E7" s="33" t="n">
        <x:v>0.12</x:v>
      </x:c>
      <x:c r="F7" s="33" t="n">
        <x:v>0.05</x:v>
      </x:c>
      <x:c r="G7" s="30" t="str">
        <x:v>MVP</x:v>
      </x:c>
      <x:c r="H7" s="46" t="n">
        <x:f>IF(A7="",0,IFERROR(VLOOKUP(A7,'14_市场基准价'!$A$6:$J$80,4,FALSE),0))</x:f>
        <x:v>140</x:v>
      </x:c>
      <x:c r="I7" s="46" t="n">
        <x:f>IFERROR(VLOOKUP(A7,'07_炼器配方'!$A$6:$T$40,14,FALSE),H7)</x:f>
        <x:v>76</x:v>
      </x:c>
      <x:c r="J7" s="62" t="n">
        <x:f>(1+E7)*(1+F7)</x:f>
        <x:v>1.1760000000000002</x:v>
      </x:c>
      <x:c r="K7" s="62" t="n">
        <x:f>J7/J6-1</x:f>
        <x:v>0.17600000000000016</x:v>
      </x:c>
      <x:c r="L7" s="41" t="n">
        <x:f>K7*'01_核心假设'!$B$14</x:f>
        <x:v>17.600000000000016</x:v>
      </x:c>
      <x:c r="M7" s="41" t="n">
        <x:f>IF(L7&lt;=0,0,H7/L7)</x:f>
        <x:v>7.954545454545448</x:v>
      </x:c>
    </x:row>
    <x:row r="8">
      <x:c r="A8" s="30" t="str">
        <x:v>玄铁药锄</x:v>
      </x:c>
      <x:c r="B8" s="30" t="str">
        <x:v>采药</x:v>
      </x:c>
      <x:c r="C8" s="30" t="str">
        <x:v>炼气</x:v>
      </x:c>
      <x:c r="D8" s="30" t="n">
        <x:v>20</x:v>
      </x:c>
      <x:c r="E8" s="33" t="n">
        <x:v>0.22</x:v>
      </x:c>
      <x:c r="F8" s="33" t="n">
        <x:v>0.1</x:v>
      </x:c>
      <x:c r="G8" s="30" t="str">
        <x:v>MVP</x:v>
      </x:c>
      <x:c r="H8" s="46" t="n">
        <x:f>IF(A8="",0,IFERROR(VLOOKUP(A8,'14_市场基准价'!$A$6:$J$80,4,FALSE),0))</x:f>
        <x:v>480</x:v>
      </x:c>
      <x:c r="I8" s="46" t="n">
        <x:f>IFERROR(VLOOKUP(A8,'07_炼器配方'!$A$6:$T$40,14,FALSE),H8)</x:f>
        <x:v>430</x:v>
      </x:c>
      <x:c r="J8" s="62" t="n">
        <x:f>(1+E8)*(1+F8)</x:f>
        <x:v>1.342</x:v>
      </x:c>
      <x:c r="K8" s="62" t="n">
        <x:f>J8/J7-1</x:f>
        <x:v>0.1411564625850339</x:v>
      </x:c>
      <x:c r="L8" s="41" t="n">
        <x:f>K8*'01_核心假设'!$B$14</x:f>
        <x:v>14.11564625850339</x:v>
      </x:c>
      <x:c r="M8" s="41" t="n">
        <x:f>IF(L8&lt;=0,0,H8/L8)</x:f>
        <x:v>34.00481927710846</x:v>
      </x:c>
    </x:row>
    <x:row r="9">
      <x:c r="A9" s="30" t="str">
        <x:v>灵玉药锄</x:v>
      </x:c>
      <x:c r="B9" s="30" t="str">
        <x:v>采药</x:v>
      </x:c>
      <x:c r="C9" s="30" t="str">
        <x:v>筑基</x:v>
      </x:c>
      <x:c r="D9" s="30" t="n">
        <x:v>35</x:v>
      </x:c>
      <x:c r="E9" s="33" t="n">
        <x:v>0.35</x:v>
      </x:c>
      <x:c r="F9" s="33" t="n">
        <x:v>0.18</x:v>
      </x:c>
      <x:c r="G9" s="30" t="str">
        <x:v>MVP Endgame</x:v>
      </x:c>
      <x:c r="H9" s="46" t="n">
        <x:f>IF(A9="",0,IFERROR(VLOOKUP(A9,'14_市场基准价'!$A$6:$J$80,4,FALSE),0))</x:f>
        <x:v>1400</x:v>
      </x:c>
      <x:c r="I9" s="46" t="n">
        <x:f>IFERROR(VLOOKUP(A9,'07_炼器配方'!$A$6:$T$40,14,FALSE),H9)</x:f>
        <x:v>1420</x:v>
      </x:c>
      <x:c r="J9" s="62" t="n">
        <x:f>(1+E9)*(1+F9)</x:f>
        <x:v>1.593</x:v>
      </x:c>
      <x:c r="K9" s="62" t="n">
        <x:f>J9/J8-1</x:f>
        <x:v>0.18703427719821164</x:v>
      </x:c>
      <x:c r="L9" s="41" t="n">
        <x:f>K9*'01_核心假设'!$B$14</x:f>
        <x:v>18.703427719821164</x:v>
      </x:c>
      <x:c r="M9" s="41" t="n">
        <x:f>IF(L9&lt;=0,0,H9/L9)</x:f>
        <x:v>74.85258964143425</x:v>
      </x:c>
    </x:row>
    <x:row r="10">
      <x:c r="A10" s="30" t="str">
        <x:v>筑基灵锄</x:v>
      </x:c>
      <x:c r="B10" s="30" t="str">
        <x:v>采药</x:v>
      </x:c>
      <x:c r="C10" s="30" t="str">
        <x:v>筑基</x:v>
      </x:c>
      <x:c r="D10" s="30" t="n">
        <x:v>50</x:v>
      </x:c>
      <x:c r="E10" s="33" t="n">
        <x:v>0.5</x:v>
      </x:c>
      <x:c r="F10" s="33" t="n">
        <x:v>0.25</x:v>
      </x:c>
      <x:c r="G10" s="30" t="str">
        <x:v>扩展锚点</x:v>
      </x:c>
      <x:c r="H10" s="46" t="n">
        <x:f>IF(A10="",0,IFERROR(VLOOKUP(A10,'14_市场基准价'!$A$6:$J$80,4,FALSE),0))</x:f>
        <x:v>4500</x:v>
      </x:c>
      <x:c r="I10" s="46" t="n">
        <x:f>IFERROR(VLOOKUP(A10,'07_炼器配方'!$A$6:$T$40,14,FALSE),H10)</x:f>
        <x:v>4500</x:v>
      </x:c>
      <x:c r="J10" s="62" t="n">
        <x:f>(1+E10)*(1+F10)</x:f>
        <x:v>1.875</x:v>
      </x:c>
      <x:c r="K10" s="62" t="n">
        <x:f>J10/J9-1</x:f>
        <x:v>0.17702448210922794</x:v>
      </x:c>
      <x:c r="L10" s="41" t="n">
        <x:f>K10*'01_核心假设'!$B$14</x:f>
        <x:v>17.702448210922796</x:v>
      </x:c>
      <x:c r="M10" s="41" t="n">
        <x:f>IF(L10&lt;=0,0,H10/L10)</x:f>
        <x:v>254.20212765957433</x:v>
      </x:c>
    </x:row>
    <x:row r="11">
      <x:c r="A11" s="30" t="str">
        <x:v>木柄矿镐</x:v>
      </x:c>
      <x:c r="B11" s="30" t="str">
        <x:v>挖矿</x:v>
      </x:c>
      <x:c r="C11" s="30" t="str">
        <x:v>炼气</x:v>
      </x:c>
      <x:c r="D11" s="30" t="n">
        <x:v>1</x:v>
      </x:c>
      <x:c r="E11" s="33" t="n">
        <x:v>0</x:v>
      </x:c>
      <x:c r="F11" s="33" t="n">
        <x:v>0</x:v>
      </x:c>
      <x:c r="G11" s="30" t="str">
        <x:v>MVP</x:v>
      </x:c>
      <x:c r="H11" s="46" t="n">
        <x:f>IF(A11="",0,IFERROR(VLOOKUP(A11,'14_市场基准价'!$A$6:$J$80,4,FALSE),0))</x:f>
        <x:v>20</x:v>
      </x:c>
      <x:c r="I11" s="46" t="n">
        <x:f>IFERROR(VLOOKUP(A11,'07_炼器配方'!$A$6:$T$40,14,FALSE),H11)</x:f>
        <x:v>19</x:v>
      </x:c>
      <x:c r="J11" s="62" t="n">
        <x:f>(1+E11)*(1+F11)</x:f>
        <x:v>1</x:v>
      </x:c>
      <x:c r="K11" s="62" t="n">
        <x:f>J11/1-1</x:f>
        <x:v>0</x:v>
      </x:c>
      <x:c r="L11" s="41" t="n">
        <x:f>K11*'01_核心假设'!$B$14</x:f>
        <x:v>0</x:v>
      </x:c>
      <x:c r="M11" s="41" t="n">
        <x:f>IF(L11&lt;=0,0,H11/L11)</x:f>
        <x:v>0</x:v>
      </x:c>
    </x:row>
    <x:row r="12">
      <x:c r="A12" s="30" t="str">
        <x:v>青铜矿镐</x:v>
      </x:c>
      <x:c r="B12" s="30" t="str">
        <x:v>挖矿</x:v>
      </x:c>
      <x:c r="C12" s="30" t="str">
        <x:v>炼气</x:v>
      </x:c>
      <x:c r="D12" s="30" t="n">
        <x:v>10</x:v>
      </x:c>
      <x:c r="E12" s="33" t="n">
        <x:v>0.12</x:v>
      </x:c>
      <x:c r="F12" s="33" t="n">
        <x:v>0.05</x:v>
      </x:c>
      <x:c r="G12" s="30" t="str">
        <x:v>MVP</x:v>
      </x:c>
      <x:c r="H12" s="46" t="n">
        <x:f>IF(A12="",0,IFERROR(VLOOKUP(A12,'14_市场基准价'!$A$6:$J$80,4,FALSE),0))</x:f>
        <x:v>150</x:v>
      </x:c>
      <x:c r="I12" s="46" t="n">
        <x:f>IFERROR(VLOOKUP(A12,'07_炼器配方'!$A$6:$T$40,14,FALSE),H12)</x:f>
        <x:v>82</x:v>
      </x:c>
      <x:c r="J12" s="62" t="n">
        <x:f>(1+E12)*(1+F12)</x:f>
        <x:v>1.1760000000000002</x:v>
      </x:c>
      <x:c r="K12" s="62" t="n">
        <x:f>J12/J11-1</x:f>
        <x:v>0.17600000000000016</x:v>
      </x:c>
      <x:c r="L12" s="41" t="n">
        <x:f>K12*'01_核心假设'!$B$14</x:f>
        <x:v>17.600000000000016</x:v>
      </x:c>
      <x:c r="M12" s="41" t="n">
        <x:f>IF(L12&lt;=0,0,H12/L12)</x:f>
        <x:v>8.522727272727264</x:v>
      </x:c>
    </x:row>
    <x:row r="13">
      <x:c r="A13" s="30" t="str">
        <x:v>玄铁矿镐</x:v>
      </x:c>
      <x:c r="B13" s="30" t="str">
        <x:v>挖矿</x:v>
      </x:c>
      <x:c r="C13" s="30" t="str">
        <x:v>炼气</x:v>
      </x:c>
      <x:c r="D13" s="30" t="n">
        <x:v>20</x:v>
      </x:c>
      <x:c r="E13" s="33" t="n">
        <x:v>0.22</x:v>
      </x:c>
      <x:c r="F13" s="33" t="n">
        <x:v>0.1</x:v>
      </x:c>
      <x:c r="G13" s="30" t="str">
        <x:v>MVP</x:v>
      </x:c>
      <x:c r="H13" s="46" t="n">
        <x:f>IF(A13="",0,IFERROR(VLOOKUP(A13,'14_市场基准价'!$A$6:$J$80,4,FALSE),0))</x:f>
        <x:v>520</x:v>
      </x:c>
      <x:c r="I13" s="46" t="n">
        <x:f>IFERROR(VLOOKUP(A13,'07_炼器配方'!$A$6:$T$40,14,FALSE),H13)</x:f>
        <x:v>476</x:v>
      </x:c>
      <x:c r="J13" s="62" t="n">
        <x:f>(1+E13)*(1+F13)</x:f>
        <x:v>1.342</x:v>
      </x:c>
      <x:c r="K13" s="62" t="n">
        <x:f>J13/J12-1</x:f>
        <x:v>0.1411564625850339</x:v>
      </x:c>
      <x:c r="L13" s="41" t="n">
        <x:f>K13*'01_核心假设'!$B$14</x:f>
        <x:v>14.11564625850339</x:v>
      </x:c>
      <x:c r="M13" s="41" t="n">
        <x:f>IF(L13&lt;=0,0,H13/L13)</x:f>
        <x:v>36.8385542168675</x:v>
      </x:c>
    </x:row>
    <x:row r="14">
      <x:c r="A14" s="30" t="str">
        <x:v>灵玉矿镐</x:v>
      </x:c>
      <x:c r="B14" s="30" t="str">
        <x:v>挖矿</x:v>
      </x:c>
      <x:c r="C14" s="30" t="str">
        <x:v>筑基</x:v>
      </x:c>
      <x:c r="D14" s="30" t="n">
        <x:v>35</x:v>
      </x:c>
      <x:c r="E14" s="33" t="n">
        <x:v>0.35</x:v>
      </x:c>
      <x:c r="F14" s="33" t="n">
        <x:v>0.18</x:v>
      </x:c>
      <x:c r="G14" s="30" t="str">
        <x:v>MVP Endgame</x:v>
      </x:c>
      <x:c r="H14" s="46" t="n">
        <x:f>IF(A14="",0,IFERROR(VLOOKUP(A14,'14_市场基准价'!$A$6:$J$80,4,FALSE),0))</x:f>
        <x:v>1500</x:v>
      </x:c>
      <x:c r="I14" s="46" t="n">
        <x:f>IFERROR(VLOOKUP(A14,'07_炼器配方'!$A$6:$T$40,14,FALSE),H14)</x:f>
        <x:v>1500</x:v>
      </x:c>
      <x:c r="J14" s="62" t="n">
        <x:f>(1+E14)*(1+F14)</x:f>
        <x:v>1.593</x:v>
      </x:c>
      <x:c r="K14" s="62" t="n">
        <x:f>J14/J13-1</x:f>
        <x:v>0.18703427719821164</x:v>
      </x:c>
      <x:c r="L14" s="41" t="n">
        <x:f>K14*'01_核心假设'!$B$14</x:f>
        <x:v>18.703427719821164</x:v>
      </x:c>
      <x:c r="M14" s="41" t="n">
        <x:f>IF(L14&lt;=0,0,H14/L14)</x:f>
        <x:v>80.19920318725099</x:v>
      </x:c>
    </x:row>
    <x:row r="15">
      <x:c r="A15" s="30" t="str">
        <x:v>筑基灵镐</x:v>
      </x:c>
      <x:c r="B15" s="30" t="str">
        <x:v>挖矿</x:v>
      </x:c>
      <x:c r="C15" s="30" t="str">
        <x:v>筑基</x:v>
      </x:c>
      <x:c r="D15" s="30" t="n">
        <x:v>50</x:v>
      </x:c>
      <x:c r="E15" s="33" t="n">
        <x:v>0.5</x:v>
      </x:c>
      <x:c r="F15" s="33" t="n">
        <x:v>0.25</x:v>
      </x:c>
      <x:c r="G15" s="30" t="str">
        <x:v>扩展锚点</x:v>
      </x:c>
      <x:c r="H15" s="46" t="n">
        <x:f>IF(A15="",0,IFERROR(VLOOKUP(A15,'14_市场基准价'!$A$6:$J$80,4,FALSE),0))</x:f>
        <x:v>4800</x:v>
      </x:c>
      <x:c r="I15" s="46" t="n">
        <x:f>IFERROR(VLOOKUP(A15,'07_炼器配方'!$A$6:$T$40,14,FALSE),H15)</x:f>
        <x:v>4800</x:v>
      </x:c>
      <x:c r="J15" s="62" t="n">
        <x:f>(1+E15)*(1+F15)</x:f>
        <x:v>1.875</x:v>
      </x:c>
      <x:c r="K15" s="62" t="n">
        <x:f>J15/J14-1</x:f>
        <x:v>0.17702448210922794</x:v>
      </x:c>
      <x:c r="L15" s="41" t="n">
        <x:f>K15*'01_核心假设'!$B$14</x:f>
        <x:v>17.702448210922796</x:v>
      </x:c>
      <x:c r="M15" s="41" t="n">
        <x:f>IF(L15&lt;=0,0,H15/L15)</x:f>
        <x:v>271.1489361702126</x:v>
      </x:c>
    </x:row>
    <x:row r="16">
      <x:c r="A16" s="30" t="str">
        <x:v>粗制丹炉</x:v>
      </x:c>
      <x:c r="B16" s="30" t="str">
        <x:v>炼丹</x:v>
      </x:c>
      <x:c r="C16" s="30" t="str">
        <x:v>凡人</x:v>
      </x:c>
      <x:c r="D16" s="30" t="n">
        <x:v>1</x:v>
      </x:c>
      <x:c r="E16" s="33" t="n">
        <x:v>0</x:v>
      </x:c>
      <x:c r="F16" s="33" t="n">
        <x:v>0</x:v>
      </x:c>
      <x:c r="G16" s="30" t="str">
        <x:v>MVP</x:v>
      </x:c>
      <x:c r="H16" s="46" t="n">
        <x:f>IF(A16="",0,IFERROR(VLOOKUP(A16,'14_市场基准价'!$A$6:$J$80,4,FALSE),0))</x:f>
        <x:v>60</x:v>
      </x:c>
      <x:c r="I16" s="46" t="n">
        <x:f>IFERROR(VLOOKUP(A16,'07_炼器配方'!$A$6:$T$40,14,FALSE),H16)</x:f>
        <x:v>50</x:v>
      </x:c>
      <x:c r="J16" s="62" t="n">
        <x:f>(1+E16)*(1+F16)</x:f>
        <x:v>1</x:v>
      </x:c>
      <x:c r="K16" s="62" t="n">
        <x:f>J16/1-1</x:f>
        <x:v>0</x:v>
      </x:c>
      <x:c r="L16" s="41" t="n">
        <x:f>K16*'01_核心假设'!$B$14</x:f>
        <x:v>0</x:v>
      </x:c>
      <x:c r="M16" s="41" t="n">
        <x:f>IF(L16&lt;=0,0,H16/L16)</x:f>
        <x:v>0</x:v>
      </x:c>
    </x:row>
    <x:row r="17">
      <x:c r="A17" s="30" t="str">
        <x:v>青铜丹炉</x:v>
      </x:c>
      <x:c r="B17" s="30" t="str">
        <x:v>炼丹</x:v>
      </x:c>
      <x:c r="C17" s="30" t="str">
        <x:v>炼气</x:v>
      </x:c>
      <x:c r="D17" s="30" t="n">
        <x:v>10</x:v>
      </x:c>
      <x:c r="E17" s="33" t="n">
        <x:v>0.1</x:v>
      </x:c>
      <x:c r="F17" s="33" t="n">
        <x:v>0.06</x:v>
      </x:c>
      <x:c r="G17" s="30" t="str">
        <x:v>MVP</x:v>
      </x:c>
      <x:c r="H17" s="46" t="n">
        <x:f>IF(A17="",0,IFERROR(VLOOKUP(A17,'14_市场基准价'!$A$6:$J$80,4,FALSE),0))</x:f>
        <x:v>380</x:v>
      </x:c>
      <x:c r="I17" s="46" t="n">
        <x:f>IFERROR(VLOOKUP(A17,'07_炼器配方'!$A$6:$T$40,14,FALSE),H17)</x:f>
        <x:v>216</x:v>
      </x:c>
      <x:c r="J17" s="62" t="n">
        <x:f>(1+E17)*(1+F17)</x:f>
        <x:v>1.1660000000000001</x:v>
      </x:c>
      <x:c r="K17" s="62" t="n">
        <x:f>J17/J16-1</x:f>
        <x:v>0.16600000000000015</x:v>
      </x:c>
      <x:c r="L17" s="41" t="n">
        <x:f>K17*'01_核心假设'!$B$14</x:f>
        <x:v>16.600000000000016</x:v>
      </x:c>
      <x:c r="M17" s="41" t="n">
        <x:f>IF(L17&lt;=0,0,H17/L17)</x:f>
        <x:v>22.89156626506022</x:v>
      </x:c>
    </x:row>
    <x:row r="18">
      <x:c r="A18" s="30" t="str">
        <x:v>玄火丹炉</x:v>
      </x:c>
      <x:c r="B18" s="30" t="str">
        <x:v>炼丹</x:v>
      </x:c>
      <x:c r="C18" s="30" t="str">
        <x:v>炼气</x:v>
      </x:c>
      <x:c r="D18" s="30" t="n">
        <x:v>25</x:v>
      </x:c>
      <x:c r="E18" s="33" t="n">
        <x:v>0.22</x:v>
      </x:c>
      <x:c r="F18" s="33" t="n">
        <x:v>0.14</x:v>
      </x:c>
      <x:c r="G18" s="30" t="str">
        <x:v>MVP</x:v>
      </x:c>
      <x:c r="H18" s="46" t="n">
        <x:f>IF(A18="",0,IFERROR(VLOOKUP(A18,'14_市场基准价'!$A$6:$J$80,4,FALSE),0))</x:f>
        <x:v>1200</x:v>
      </x:c>
      <x:c r="I18" s="46" t="n">
        <x:f>IFERROR(VLOOKUP(A18,'07_炼器配方'!$A$6:$T$40,14,FALSE),H18)</x:f>
        <x:v>880</x:v>
      </x:c>
      <x:c r="J18" s="62" t="n">
        <x:f>(1+E18)*(1+F18)</x:f>
        <x:v>1.3908</x:v>
      </x:c>
      <x:c r="K18" s="62" t="n">
        <x:f>J18/J17-1</x:f>
        <x:v>0.192795883361921</x:v>
      </x:c>
      <x:c r="L18" s="41" t="n">
        <x:f>K18*'01_核心假设'!$B$14</x:f>
        <x:v>19.2795883361921</x:v>
      </x:c>
      <x:c r="M18" s="41" t="n">
        <x:f>IF(L18&lt;=0,0,H18/L18)</x:f>
        <x:v>62.241992882562315</x:v>
      </x:c>
    </x:row>
    <x:row r="19">
      <x:c r="A19" s="31" t="str">
        <x:v>筑基丹炉</x:v>
      </x:c>
      <x:c r="B19" s="31" t="str">
        <x:v>炼丹</x:v>
      </x:c>
      <x:c r="C19" s="31" t="str">
        <x:v>筑基</x:v>
      </x:c>
      <x:c r="D19" s="31" t="n">
        <x:v>50</x:v>
      </x:c>
      <x:c r="E19" s="71" t="n">
        <x:v>0.4</x:v>
      </x:c>
      <x:c r="F19" s="71" t="n">
        <x:v>0.25</x:v>
      </x:c>
      <x:c r="G19" s="31" t="str">
        <x:v>扩展锚点</x:v>
      </x:c>
      <x:c r="H19" s="48" t="n">
        <x:f>IF(A19="",0,IFERROR(VLOOKUP(A19,'14_市场基准价'!$A$6:$J$80,4,FALSE),0))</x:f>
        <x:v>4200</x:v>
      </x:c>
      <x:c r="I19" s="48" t="n">
        <x:f>IFERROR(VLOOKUP(A19,'07_炼器配方'!$A$6:$T$40,14,FALSE),H19)</x:f>
        <x:v>4200</x:v>
      </x:c>
      <x:c r="J19" s="63" t="n">
        <x:f>(1+E19)*(1+F19)</x:f>
        <x:v>1.75</x:v>
      </x:c>
      <x:c r="K19" s="63" t="n">
        <x:f>J19/J18-1</x:f>
        <x:v>0.2582686223756112</x:v>
      </x:c>
      <x:c r="L19" s="43" t="n">
        <x:f>K19*'01_核心假设'!$B$14</x:f>
        <x:v>25.826862237561123</x:v>
      </x:c>
      <x:c r="M19" s="43" t="n">
        <x:f>IF(L19&lt;=0,0,H19/L19)</x:f>
        <x:v>162.6213808463251</x:v>
      </x:c>
    </x:row>
  </x:sheetData>
  <x:mergeCells>
    <x:mergeCell ref="A1:M1"/>
    <x:mergeCell ref="A2:M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4" hidden="0" customWidth="1"/>
    <x:col min="11" max="11" width="13" hidden="0" customWidth="1"/>
    <x:col min="12" max="12" width="15" hidden="0" customWidth="1"/>
    <x:col min="13" max="13" width="13" hidden="0" customWidth="1"/>
    <x:col min="14" max="14" width="24" hidden="0" customWidth="1"/>
  </x:cols>
  <x:sheetData>
    <x:row r="1" ht="30" customHeight="1">
      <x:c r="A1" s="3" t="str">
        <x:v>装备梯度与战力预算</x:v>
      </x:c>
      <x:c r="B1" s="3" t="str">
        <x:v>装备梯度与战力预算</x:v>
      </x:c>
      <x:c r="C1" s="3" t="str">
        <x:v>装备梯度与战力预算</x:v>
      </x:c>
      <x:c r="D1" s="3" t="str">
        <x:v>装备梯度与战力预算</x:v>
      </x:c>
      <x:c r="E1" s="3" t="str">
        <x:v>装备梯度与战力预算</x:v>
      </x:c>
      <x:c r="F1" s="3" t="str">
        <x:v>装备梯度与战力预算</x:v>
      </x:c>
      <x:c r="G1" s="3" t="str">
        <x:v>装备梯度与战力预算</x:v>
      </x:c>
      <x:c r="H1" s="3" t="str">
        <x:v>装备梯度与战力预算</x:v>
      </x:c>
      <x:c r="I1" s="3" t="str">
        <x:v>装备梯度与战力预算</x:v>
      </x:c>
      <x:c r="J1" s="3" t="str">
        <x:v>装备梯度与战力预算</x:v>
      </x:c>
      <x:c r="K1" s="3" t="str">
        <x:v>装备梯度与战力预算</x:v>
      </x:c>
      <x:c r="L1" s="3" t="str">
        <x:v>装备梯度与战力预算</x:v>
      </x:c>
      <x:c r="M1" s="3" t="str">
        <x:v>装备梯度与战力预算</x:v>
      </x:c>
      <x:c r="N1" s="3" t="str">
        <x:v>装备梯度与战力预算</x:v>
      </x:c>
    </x:row>
    <x:row r="2">
      <x:c r="A2" s="7" t="str">
        <x:v>装备不使用单一综合战力作为首页核心，但内部需要统一预算用于怪物和秘境门槛。战力指数仅为平衡工具。</x:v>
      </x:c>
      <x:c r="B2" s="7" t="str">
        <x:v>装备不使用单一综合战力作为首页核心，但内部需要统一预算用于怪物和秘境门槛。战力指数仅为平衡工具。</x:v>
      </x:c>
      <x:c r="C2" s="7" t="str">
        <x:v>装备不使用单一综合战力作为首页核心，但内部需要统一预算用于怪物和秘境门槛。战力指数仅为平衡工具。</x:v>
      </x:c>
      <x:c r="D2" s="7" t="str">
        <x:v>装备不使用单一综合战力作为首页核心，但内部需要统一预算用于怪物和秘境门槛。战力指数仅为平衡工具。</x:v>
      </x:c>
      <x:c r="E2" s="7" t="str">
        <x:v>装备不使用单一综合战力作为首页核心，但内部需要统一预算用于怪物和秘境门槛。战力指数仅为平衡工具。</x:v>
      </x:c>
      <x:c r="F2" s="7" t="str">
        <x:v>装备不使用单一综合战力作为首页核心，但内部需要统一预算用于怪物和秘境门槛。战力指数仅为平衡工具。</x:v>
      </x:c>
      <x:c r="G2" s="7" t="str">
        <x:v>装备不使用单一综合战力作为首页核心，但内部需要统一预算用于怪物和秘境门槛。战力指数仅为平衡工具。</x:v>
      </x:c>
      <x:c r="H2" s="7" t="str">
        <x:v>装备不使用单一综合战力作为首页核心，但内部需要统一预算用于怪物和秘境门槛。战力指数仅为平衡工具。</x:v>
      </x:c>
      <x:c r="I2" s="7" t="str">
        <x:v>装备不使用单一综合战力作为首页核心，但内部需要统一预算用于怪物和秘境门槛。战力指数仅为平衡工具。</x:v>
      </x:c>
      <x:c r="J2" s="7" t="str">
        <x:v>装备不使用单一综合战力作为首页核心，但内部需要统一预算用于怪物和秘境门槛。战力指数仅为平衡工具。</x:v>
      </x:c>
      <x:c r="K2" s="7" t="str">
        <x:v>装备不使用单一综合战力作为首页核心，但内部需要统一预算用于怪物和秘境门槛。战力指数仅为平衡工具。</x:v>
      </x:c>
      <x:c r="L2" s="7" t="str">
        <x:v>装备不使用单一综合战力作为首页核心，但内部需要统一预算用于怪物和秘境门槛。战力指数仅为平衡工具。</x:v>
      </x:c>
      <x:c r="M2" s="7" t="str">
        <x:v>装备不使用单一综合战力作为首页核心，但内部需要统一预算用于怪物和秘境门槛。战力指数仅为平衡工具。</x:v>
      </x:c>
      <x:c r="N2" s="7" t="str">
        <x:v>装备不使用单一综合战力作为首页核心，但内部需要统一预算用于怪物和秘境门槛。战力指数仅为平衡工具。</x:v>
      </x:c>
    </x:row>
    <x:row r="3">
      <x:c r="A3" s="7" t="str">
        <x:v>装备不使用单一综合战力作为首页核心，但内部需要统一预算用于怪物和秘境门槛。战力指数仅为平衡工具。</x:v>
      </x:c>
      <x:c r="B3" s="7" t="str">
        <x:v>装备不使用单一综合战力作为首页核心，但内部需要统一预算用于怪物和秘境门槛。战力指数仅为平衡工具。</x:v>
      </x:c>
      <x:c r="C3" s="7" t="str">
        <x:v>装备不使用单一综合战力作为首页核心，但内部需要统一预算用于怪物和秘境门槛。战力指数仅为平衡工具。</x:v>
      </x:c>
      <x:c r="D3" s="7" t="str">
        <x:v>装备不使用单一综合战力作为首页核心，但内部需要统一预算用于怪物和秘境门槛。战力指数仅为平衡工具。</x:v>
      </x:c>
      <x:c r="E3" s="7" t="str">
        <x:v>装备不使用单一综合战力作为首页核心，但内部需要统一预算用于怪物和秘境门槛。战力指数仅为平衡工具。</x:v>
      </x:c>
      <x:c r="F3" s="7" t="str">
        <x:v>装备不使用单一综合战力作为首页核心，但内部需要统一预算用于怪物和秘境门槛。战力指数仅为平衡工具。</x:v>
      </x:c>
      <x:c r="G3" s="7" t="str">
        <x:v>装备不使用单一综合战力作为首页核心，但内部需要统一预算用于怪物和秘境门槛。战力指数仅为平衡工具。</x:v>
      </x:c>
      <x:c r="H3" s="7" t="str">
        <x:v>装备不使用单一综合战力作为首页核心，但内部需要统一预算用于怪物和秘境门槛。战力指数仅为平衡工具。</x:v>
      </x:c>
      <x:c r="I3" s="7" t="str">
        <x:v>装备不使用单一综合战力作为首页核心，但内部需要统一预算用于怪物和秘境门槛。战力指数仅为平衡工具。</x:v>
      </x:c>
      <x:c r="J3" s="7" t="str">
        <x:v>装备不使用单一综合战力作为首页核心，但内部需要统一预算用于怪物和秘境门槛。战力指数仅为平衡工具。</x:v>
      </x:c>
      <x:c r="K3" s="7" t="str">
        <x:v>装备不使用单一综合战力作为首页核心，但内部需要统一预算用于怪物和秘境门槛。战力指数仅为平衡工具。</x:v>
      </x:c>
      <x:c r="L3" s="7" t="str">
        <x:v>装备不使用单一综合战力作为首页核心，但内部需要统一预算用于怪物和秘境门槛。战力指数仅为平衡工具。</x:v>
      </x:c>
      <x:c r="M3" s="7" t="str">
        <x:v>装备不使用单一综合战力作为首页核心，但内部需要统一预算用于怪物和秘境门槛。战力指数仅为平衡工具。</x:v>
      </x:c>
      <x:c r="N3" s="7" t="str">
        <x:v>装备不使用单一综合战力作为首页核心，但内部需要统一预算用于怪物和秘境门槛。战力指数仅为平衡工具。</x:v>
      </x:c>
    </x:row>
    <x:row r="5" ht="28" customHeight="1">
      <x:c r="A5" s="19" t="str">
        <x:v>装备</x:v>
      </x:c>
      <x:c r="B5" s="20" t="str">
        <x:v>槽位</x:v>
      </x:c>
      <x:c r="C5" s="20" t="str">
        <x:v>阶级</x:v>
      </x:c>
      <x:c r="D5" s="20" t="str">
        <x:v>境界</x:v>
      </x:c>
      <x:c r="E5" s="20" t="str">
        <x:v>攻击</x:v>
      </x:c>
      <x:c r="F5" s="20" t="str">
        <x:v>防御</x:v>
      </x:c>
      <x:c r="G5" s="20" t="str">
        <x:v>生命</x:v>
      </x:c>
      <x:c r="H5" s="20" t="str">
        <x:v>速度</x:v>
      </x:c>
      <x:c r="I5" s="20" t="str">
        <x:v>来源</x:v>
      </x:c>
      <x:c r="J5" s="20" t="str">
        <x:v>范围</x:v>
      </x:c>
      <x:c r="K5" s="20" t="str">
        <x:v>市场价</x:v>
      </x:c>
      <x:c r="L5" s="20" t="str">
        <x:v>内部战力指数</x:v>
      </x:c>
      <x:c r="M5" s="20" t="str">
        <x:v>同槽位提升</x:v>
      </x:c>
      <x:c r="N5" s="21" t="str">
        <x:v>设计职责</x:v>
      </x:c>
    </x:row>
    <x:row r="6">
      <x:c r="A6" s="29" t="str">
        <x:v>粗制剑</x:v>
      </x:c>
      <x:c r="B6" s="29" t="str">
        <x:v>武器</x:v>
      </x:c>
      <x:c r="C6" s="29" t="n">
        <x:v>1</x:v>
      </x:c>
      <x:c r="D6" s="29" t="str">
        <x:v>凡人</x:v>
      </x:c>
      <x:c r="E6" s="29" t="n">
        <x:v>12</x:v>
      </x:c>
      <x:c r="F6" s="29" t="n">
        <x:v>0</x:v>
      </x:c>
      <x:c r="G6" s="29" t="n">
        <x:v>0</x:v>
      </x:c>
      <x:c r="H6" s="70" t="n">
        <x:v>0</x:v>
      </x:c>
      <x:c r="I6" s="29" t="str">
        <x:v>炼器</x:v>
      </x:c>
      <x:c r="J6" s="29" t="str">
        <x:v>MVP</x:v>
      </x:c>
      <x:c r="K6" s="45" t="n">
        <x:f>IF(A6="",0,IFERROR(VLOOKUP(A6,'14_市场基准价'!$A$6:$J$80,4,FALSE),0))</x:f>
        <x:v>50</x:v>
      </x:c>
      <x:c r="L6" s="45" t="n">
        <x:f>E6*4+F6*3+G6*0.2+H6*200</x:f>
        <x:v>48</x:v>
      </x:c>
      <x:c r="M6" s="61" t="n">
        <x:f>0</x:f>
        <x:v>0</x:v>
      </x:c>
      <x:c r="N6" s="29" t="str">
        <x:v>起步武器</x:v>
      </x:c>
    </x:row>
    <x:row r="7">
      <x:c r="A7" s="30" t="str">
        <x:v>青铜剑</x:v>
      </x:c>
      <x:c r="B7" s="30" t="str">
        <x:v>武器</x:v>
      </x:c>
      <x:c r="C7" s="30" t="n">
        <x:v>1</x:v>
      </x:c>
      <x:c r="D7" s="30" t="str">
        <x:v>炼气</x:v>
      </x:c>
      <x:c r="E7" s="30" t="n">
        <x:v>24</x:v>
      </x:c>
      <x:c r="F7" s="30" t="n">
        <x:v>0</x:v>
      </x:c>
      <x:c r="G7" s="30" t="n">
        <x:v>0</x:v>
      </x:c>
      <x:c r="H7" s="33" t="n">
        <x:v>0.02</x:v>
      </x:c>
      <x:c r="I7" s="30" t="str">
        <x:v>炼器</x:v>
      </x:c>
      <x:c r="J7" s="30" t="str">
        <x:v>MVP</x:v>
      </x:c>
      <x:c r="K7" s="46" t="n">
        <x:f>IF(A7="",0,IFERROR(VLOOKUP(A7,'14_市场基准价'!$A$6:$J$80,4,FALSE),0))</x:f>
        <x:v>260</x:v>
      </x:c>
      <x:c r="L7" s="46" t="n">
        <x:f>E7*4+F7*3+G7*0.2+H7*200</x:f>
        <x:v>100</x:v>
      </x:c>
      <x:c r="M7" s="62" t="n">
        <x:f>L7/L6-1</x:f>
        <x:v>1.0833333333333335</x:v>
      </x:c>
      <x:c r="N7" s="30" t="str">
        <x:v>第一次明显跃迁</x:v>
      </x:c>
    </x:row>
    <x:row r="8">
      <x:c r="A8" s="30" t="str">
        <x:v>玄铁剑</x:v>
      </x:c>
      <x:c r="B8" s="30" t="str">
        <x:v>武器</x:v>
      </x:c>
      <x:c r="C8" s="30" t="n">
        <x:v>1</x:v>
      </x:c>
      <x:c r="D8" s="30" t="str">
        <x:v>炼气</x:v>
      </x:c>
      <x:c r="E8" s="30" t="n">
        <x:v>45</x:v>
      </x:c>
      <x:c r="F8" s="30" t="n">
        <x:v>0</x:v>
      </x:c>
      <x:c r="G8" s="30" t="n">
        <x:v>0</x:v>
      </x:c>
      <x:c r="H8" s="33" t="n">
        <x:v>0.04</x:v>
      </x:c>
      <x:c r="I8" s="30" t="str">
        <x:v>炼器</x:v>
      </x:c>
      <x:c r="J8" s="30" t="str">
        <x:v>MVP</x:v>
      </x:c>
      <x:c r="K8" s="46" t="n">
        <x:f>IF(A8="",0,IFERROR(VLOOKUP(A8,'14_市场基准价'!$A$6:$J$80,4,FALSE),0))</x:f>
        <x:v>900</x:v>
      </x:c>
      <x:c r="L8" s="46" t="n">
        <x:f>E8*4+F8*3+G8*0.2+H8*200</x:f>
        <x:v>188</x:v>
      </x:c>
      <x:c r="M8" s="62" t="n">
        <x:f>L8/L7-1</x:f>
        <x:v>0.8799999999999999</x:v>
      </x:c>
      <x:c r="N8" s="30" t="str">
        <x:v>炼气后期目标</x:v>
      </x:c>
    </x:row>
    <x:row r="9">
      <x:c r="A9" s="30" t="str">
        <x:v>灵玉剑</x:v>
      </x:c>
      <x:c r="B9" s="30" t="str">
        <x:v>武器</x:v>
      </x:c>
      <x:c r="C9" s="30" t="n">
        <x:v>2</x:v>
      </x:c>
      <x:c r="D9" s="30" t="str">
        <x:v>筑基</x:v>
      </x:c>
      <x:c r="E9" s="30" t="n">
        <x:v>78</x:v>
      </x:c>
      <x:c r="F9" s="30" t="n">
        <x:v>0</x:v>
      </x:c>
      <x:c r="G9" s="30" t="n">
        <x:v>0</x:v>
      </x:c>
      <x:c r="H9" s="33" t="n">
        <x:v>0.06</x:v>
      </x:c>
      <x:c r="I9" s="30" t="str">
        <x:v>炼器</x:v>
      </x:c>
      <x:c r="J9" s="30" t="str">
        <x:v>MVP Endgame</x:v>
      </x:c>
      <x:c r="K9" s="46" t="n">
        <x:f>IF(A9="",0,IFERROR(VLOOKUP(A9,'14_市场基准价'!$A$6:$J$80,4,FALSE),0))</x:f>
        <x:v>2800</x:v>
      </x:c>
      <x:c r="L9" s="46" t="n">
        <x:f>E9*4+F9*3+G9*0.2+H9*200</x:f>
        <x:v>324</x:v>
      </x:c>
      <x:c r="M9" s="62" t="n">
        <x:f>L9/L8-1</x:f>
        <x:v>0.7234042553191489</x:v>
      </x:c>
      <x:c r="N9" s="30" t="str">
        <x:v>筑基入门</x:v>
      </x:c>
    </x:row>
    <x:row r="10">
      <x:c r="A10" s="30" t="str">
        <x:v>筑基飞剑</x:v>
      </x:c>
      <x:c r="B10" s="30" t="str">
        <x:v>武器</x:v>
      </x:c>
      <x:c r="C10" s="30" t="n">
        <x:v>2</x:v>
      </x:c>
      <x:c r="D10" s="30" t="str">
        <x:v>筑基</x:v>
      </x:c>
      <x:c r="E10" s="30" t="n">
        <x:v>115</x:v>
      </x:c>
      <x:c r="F10" s="30" t="n">
        <x:v>0</x:v>
      </x:c>
      <x:c r="G10" s="30" t="n">
        <x:v>0</x:v>
      </x:c>
      <x:c r="H10" s="33" t="n">
        <x:v>0.08</x:v>
      </x:c>
      <x:c r="I10" s="30" t="str">
        <x:v>炼器/秘境</x:v>
      </x:c>
      <x:c r="J10" s="30" t="str">
        <x:v>扩展锚点</x:v>
      </x:c>
      <x:c r="K10" s="46" t="n">
        <x:f>IF(A10="",0,IFERROR(VLOOKUP(A10,'14_市场基准价'!$A$6:$J$80,4,FALSE),0))</x:f>
        <x:v>8500</x:v>
      </x:c>
      <x:c r="L10" s="46" t="n">
        <x:f>E10*4+F10*3+G10*0.2+H10*200</x:f>
        <x:v>476</x:v>
      </x:c>
      <x:c r="M10" s="62" t="n">
        <x:f>L10/L9-1</x:f>
        <x:v>0.4691358024691359</x:v>
      </x:c>
      <x:c r="N10" s="30" t="str">
        <x:v>专业Build</x:v>
      </x:c>
    </x:row>
    <x:row r="11">
      <x:c r="A11" s="30" t="str">
        <x:v>黑风剑</x:v>
      </x:c>
      <x:c r="B11" s="30" t="str">
        <x:v>武器</x:v>
      </x:c>
      <x:c r="C11" s="30" t="n">
        <x:v>2</x:v>
      </x:c>
      <x:c r="D11" s="30" t="str">
        <x:v>筑基</x:v>
      </x:c>
      <x:c r="E11" s="30" t="n">
        <x:v>140</x:v>
      </x:c>
      <x:c r="F11" s="30" t="n">
        <x:v>0</x:v>
      </x:c>
      <x:c r="G11" s="30" t="n">
        <x:v>0</x:v>
      </x:c>
      <x:c r="H11" s="33" t="n">
        <x:v>0.1</x:v>
      </x:c>
      <x:c r="I11" s="30" t="str">
        <x:v>秘境Boss</x:v>
      </x:c>
      <x:c r="J11" s="30" t="str">
        <x:v>扩展锚点</x:v>
      </x:c>
      <x:c r="K11" s="46" t="n">
        <x:f>IF(A11="",0,IFERROR(VLOOKUP(A11,'14_市场基准价'!$A$6:$J$80,4,FALSE),0))</x:f>
        <x:v>12000</x:v>
      </x:c>
      <x:c r="L11" s="46" t="n">
        <x:f>E11*4+F11*3+G11*0.2+H11*200</x:f>
        <x:v>580</x:v>
      </x:c>
      <x:c r="M11" s="62" t="n">
        <x:f>L11/L10-1</x:f>
        <x:v>0.21848739495798308</x:v>
      </x:c>
      <x:c r="N11" s="30" t="str">
        <x:v>稀有掉落</x:v>
      </x:c>
    </x:row>
    <x:row r="12">
      <x:c r="A12" s="30" t="str">
        <x:v>布衣</x:v>
      </x:c>
      <x:c r="B12" s="30" t="str">
        <x:v>防具</x:v>
      </x:c>
      <x:c r="C12" s="30" t="n">
        <x:v>1</x:v>
      </x:c>
      <x:c r="D12" s="30" t="str">
        <x:v>凡人</x:v>
      </x:c>
      <x:c r="E12" s="30" t="n">
        <x:v>0</x:v>
      </x:c>
      <x:c r="F12" s="30" t="n">
        <x:v>5</x:v>
      </x:c>
      <x:c r="G12" s="30" t="n">
        <x:v>40</x:v>
      </x:c>
      <x:c r="H12" s="33" t="n">
        <x:v>0</x:v>
      </x:c>
      <x:c r="I12" s="30" t="str">
        <x:v>任务</x:v>
      </x:c>
      <x:c r="J12" s="30" t="str">
        <x:v>MVP</x:v>
      </x:c>
      <x:c r="K12" s="46" t="n">
        <x:f>IF(A12="",0,IFERROR(VLOOKUP(A12,'14_市场基准价'!$A$6:$J$80,4,FALSE),0))</x:f>
        <x:v>30</x:v>
      </x:c>
      <x:c r="L12" s="46" t="n">
        <x:f>E12*4+F12*3+G12*0.2+H12*200</x:f>
        <x:v>23</x:v>
      </x:c>
      <x:c r="M12" s="62" t="n">
        <x:f>0</x:f>
        <x:v>0</x:v>
      </x:c>
      <x:c r="N12" s="30" t="str">
        <x:v>起步防具</x:v>
      </x:c>
    </x:row>
    <x:row r="13">
      <x:c r="A13" s="30" t="str">
        <x:v>青铜甲</x:v>
      </x:c>
      <x:c r="B13" s="30" t="str">
        <x:v>防具</x:v>
      </x:c>
      <x:c r="C13" s="30" t="n">
        <x:v>1</x:v>
      </x:c>
      <x:c r="D13" s="30" t="str">
        <x:v>炼气</x:v>
      </x:c>
      <x:c r="E13" s="30" t="n">
        <x:v>0</x:v>
      </x:c>
      <x:c r="F13" s="30" t="n">
        <x:v>16</x:v>
      </x:c>
      <x:c r="G13" s="30" t="n">
        <x:v>100</x:v>
      </x:c>
      <x:c r="H13" s="33" t="n">
        <x:v>-0.01</x:v>
      </x:c>
      <x:c r="I13" s="30" t="str">
        <x:v>炼器</x:v>
      </x:c>
      <x:c r="J13" s="30" t="str">
        <x:v>MVP</x:v>
      </x:c>
      <x:c r="K13" s="46" t="n">
        <x:f>IF(A13="",0,IFERROR(VLOOKUP(A13,'14_市场基准价'!$A$6:$J$80,4,FALSE),0))</x:f>
        <x:v>240</x:v>
      </x:c>
      <x:c r="L13" s="46" t="n">
        <x:f>E13*4+F13*3+G13*0.2+H13*200</x:f>
        <x:v>66</x:v>
      </x:c>
      <x:c r="M13" s="62" t="n">
        <x:f>L13/L12-1</x:f>
        <x:v>1.8695652173913042</x:v>
      </x:c>
      <x:c r="N13" s="30" t="str">
        <x:v>稳健防御</x:v>
      </x:c>
    </x:row>
    <x:row r="14">
      <x:c r="A14" s="30" t="str">
        <x:v>玄铁甲</x:v>
      </x:c>
      <x:c r="B14" s="30" t="str">
        <x:v>防具</x:v>
      </x:c>
      <x:c r="C14" s="30" t="n">
        <x:v>1</x:v>
      </x:c>
      <x:c r="D14" s="30" t="str">
        <x:v>炼气</x:v>
      </x:c>
      <x:c r="E14" s="30" t="n">
        <x:v>0</x:v>
      </x:c>
      <x:c r="F14" s="30" t="n">
        <x:v>30</x:v>
      </x:c>
      <x:c r="G14" s="30" t="n">
        <x:v>180</x:v>
      </x:c>
      <x:c r="H14" s="33" t="n">
        <x:v>-0.02</x:v>
      </x:c>
      <x:c r="I14" s="30" t="str">
        <x:v>炼器</x:v>
      </x:c>
      <x:c r="J14" s="30" t="str">
        <x:v>MVP</x:v>
      </x:c>
      <x:c r="K14" s="46" t="n">
        <x:f>IF(A14="",0,IFERROR(VLOOKUP(A14,'14_市场基准价'!$A$6:$J$80,4,FALSE),0))</x:f>
        <x:v>850</x:v>
      </x:c>
      <x:c r="L14" s="46" t="n">
        <x:f>E14*4+F14*3+G14*0.2+H14*200</x:f>
        <x:v>122</x:v>
      </x:c>
      <x:c r="M14" s="62" t="n">
        <x:f>L14/L13-1</x:f>
        <x:v>0.8484848484848484</x:v>
      </x:c>
      <x:c r="N14" s="30" t="str">
        <x:v>秘境准备</x:v>
      </x:c>
    </x:row>
    <x:row r="15">
      <x:c r="A15" s="30" t="str">
        <x:v>灵玉法袍</x:v>
      </x:c>
      <x:c r="B15" s="30" t="str">
        <x:v>防具</x:v>
      </x:c>
      <x:c r="C15" s="30" t="n">
        <x:v>2</x:v>
      </x:c>
      <x:c r="D15" s="30" t="str">
        <x:v>筑基</x:v>
      </x:c>
      <x:c r="E15" s="30" t="n">
        <x:v>8</x:v>
      </x:c>
      <x:c r="F15" s="30" t="n">
        <x:v>38</x:v>
      </x:c>
      <x:c r="G15" s="30" t="n">
        <x:v>220</x:v>
      </x:c>
      <x:c r="H15" s="33" t="n">
        <x:v>0.03</x:v>
      </x:c>
      <x:c r="I15" s="30" t="str">
        <x:v>炼器</x:v>
      </x:c>
      <x:c r="J15" s="30" t="str">
        <x:v>MVP Endgame</x:v>
      </x:c>
      <x:c r="K15" s="46" t="n">
        <x:f>IF(A15="",0,IFERROR(VLOOKUP(A15,'14_市场基准价'!$A$6:$J$80,4,FALSE),0))</x:f>
        <x:v>2600</x:v>
      </x:c>
      <x:c r="L15" s="46" t="n">
        <x:f>E15*4+F15*3+G15*0.2+H15*200</x:f>
        <x:v>196</x:v>
      </x:c>
      <x:c r="M15" s="62" t="n">
        <x:f>L15/L14-1</x:f>
        <x:v>0.6065573770491803</x:v>
      </x:c>
      <x:c r="N15" s="30" t="str">
        <x:v>速度流</x:v>
      </x:c>
    </x:row>
    <x:row r="16">
      <x:c r="A16" s="30" t="str">
        <x:v>筑基战甲</x:v>
      </x:c>
      <x:c r="B16" s="30" t="str">
        <x:v>防具</x:v>
      </x:c>
      <x:c r="C16" s="30" t="n">
        <x:v>2</x:v>
      </x:c>
      <x:c r="D16" s="30" t="str">
        <x:v>筑基</x:v>
      </x:c>
      <x:c r="E16" s="30" t="n">
        <x:v>0</x:v>
      </x:c>
      <x:c r="F16" s="30" t="n">
        <x:v>55</x:v>
      </x:c>
      <x:c r="G16" s="30" t="n">
        <x:v>360</x:v>
      </x:c>
      <x:c r="H16" s="33" t="n">
        <x:v>-0.03</x:v>
      </x:c>
      <x:c r="I16" s="30" t="str">
        <x:v>炼器</x:v>
      </x:c>
      <x:c r="J16" s="30" t="str">
        <x:v>扩展锚点</x:v>
      </x:c>
      <x:c r="K16" s="46" t="n">
        <x:f>IF(A16="",0,IFERROR(VLOOKUP(A16,'14_市场基准价'!$A$6:$J$80,4,FALSE),0))</x:f>
        <x:v>8200</x:v>
      </x:c>
      <x:c r="L16" s="46" t="n">
        <x:f>E16*4+F16*3+G16*0.2+H16*200</x:f>
        <x:v>231</x:v>
      </x:c>
      <x:c r="M16" s="62" t="n">
        <x:f>L16/L15-1</x:f>
        <x:v>0.1785714285714286</x:v>
      </x:c>
      <x:c r="N16" s="30" t="str">
        <x:v>体修锚点</x:v>
      </x:c>
    </x:row>
    <x:row r="17">
      <x:c r="A17" s="30" t="str">
        <x:v>青玉佩</x:v>
      </x:c>
      <x:c r="B17" s="30" t="str">
        <x:v>饰品</x:v>
      </x:c>
      <x:c r="C17" s="30" t="n">
        <x:v>1</x:v>
      </x:c>
      <x:c r="D17" s="30" t="str">
        <x:v>炼气</x:v>
      </x:c>
      <x:c r="E17" s="30" t="n">
        <x:v>6</x:v>
      </x:c>
      <x:c r="F17" s="30" t="n">
        <x:v>6</x:v>
      </x:c>
      <x:c r="G17" s="30" t="n">
        <x:v>50</x:v>
      </x:c>
      <x:c r="H17" s="33" t="n">
        <x:v>0.02</x:v>
      </x:c>
      <x:c r="I17" s="30" t="str">
        <x:v>秘境</x:v>
      </x:c>
      <x:c r="J17" s="30" t="str">
        <x:v>MVP</x:v>
      </x:c>
      <x:c r="K17" s="46" t="n">
        <x:f>IF(A17="",0,IFERROR(VLOOKUP(A17,'14_市场基准价'!$A$6:$J$80,4,FALSE),0))</x:f>
        <x:v>500</x:v>
      </x:c>
      <x:c r="L17" s="46" t="n">
        <x:f>E17*4+F17*3+G17*0.2+H17*200</x:f>
        <x:v>56</x:v>
      </x:c>
      <x:c r="M17" s="62" t="n">
        <x:f>0</x:f>
        <x:v>0</x:v>
      </x:c>
      <x:c r="N17" s="30" t="str">
        <x:v>混合属性</x:v>
      </x:c>
    </x:row>
    <x:row r="18">
      <x:c r="A18" s="30" t="str">
        <x:v>玄灵戒</x:v>
      </x:c>
      <x:c r="B18" s="30" t="str">
        <x:v>饰品</x:v>
      </x:c>
      <x:c r="C18" s="30" t="n">
        <x:v>2</x:v>
      </x:c>
      <x:c r="D18" s="30" t="str">
        <x:v>筑基</x:v>
      </x:c>
      <x:c r="E18" s="30" t="n">
        <x:v>12</x:v>
      </x:c>
      <x:c r="F18" s="30" t="n">
        <x:v>8</x:v>
      </x:c>
      <x:c r="G18" s="30" t="n">
        <x:v>80</x:v>
      </x:c>
      <x:c r="H18" s="33" t="n">
        <x:v>0.04</x:v>
      </x:c>
      <x:c r="I18" s="30" t="str">
        <x:v>秘境</x:v>
      </x:c>
      <x:c r="J18" s="30" t="str">
        <x:v>MVP Endgame</x:v>
      </x:c>
      <x:c r="K18" s="46" t="n">
        <x:f>IF(A18="",0,IFERROR(VLOOKUP(A18,'14_市场基准价'!$A$6:$J$80,4,FALSE),0))</x:f>
        <x:v>1600</x:v>
      </x:c>
      <x:c r="L18" s="46" t="n">
        <x:f>E18*4+F18*3+G18*0.2+H18*200</x:f>
        <x:v>96</x:v>
      </x:c>
      <x:c r="M18" s="62" t="n">
        <x:f>L18/L17-1</x:f>
        <x:v>0.7142857142857142</x:v>
      </x:c>
      <x:c r="N18" s="30" t="str">
        <x:v>输出Build</x:v>
      </x:c>
    </x:row>
    <x:row r="19">
      <x:c r="A19" s="31" t="str">
        <x:v>筑基护符</x:v>
      </x:c>
      <x:c r="B19" s="31" t="str">
        <x:v>饰品</x:v>
      </x:c>
      <x:c r="C19" s="31" t="n">
        <x:v>2</x:v>
      </x:c>
      <x:c r="D19" s="31" t="str">
        <x:v>筑基</x:v>
      </x:c>
      <x:c r="E19" s="31" t="n">
        <x:v>5</x:v>
      </x:c>
      <x:c r="F19" s="31" t="n">
        <x:v>20</x:v>
      </x:c>
      <x:c r="G19" s="31" t="n">
        <x:v>160</x:v>
      </x:c>
      <x:c r="H19" s="71" t="n">
        <x:v>0.01</x:v>
      </x:c>
      <x:c r="I19" s="31" t="str">
        <x:v>秘境Boss</x:v>
      </x:c>
      <x:c r="J19" s="31" t="str">
        <x:v>扩展锚点</x:v>
      </x:c>
      <x:c r="K19" s="48" t="n">
        <x:f>IF(A19="",0,IFERROR(VLOOKUP(A19,'14_市场基准价'!$A$6:$J$80,4,FALSE),0))</x:f>
        <x:v>5000</x:v>
      </x:c>
      <x:c r="L19" s="48" t="n">
        <x:f>E19*4+F19*3+G19*0.2+H19*200</x:f>
        <x:v>114</x:v>
      </x:c>
      <x:c r="M19" s="63" t="n">
        <x:f>L19/L18-1</x:f>
        <x:v>0.1875</x:v>
      </x:c>
      <x:c r="N19" s="31" t="str">
        <x:v>防守Build</x:v>
      </x:c>
    </x:row>
  </x:sheetData>
  <x:mergeCells>
    <x:mergeCell ref="A1:N1"/>
    <x:mergeCell ref="A2:N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1" hidden="0" customWidth="1"/>
    <x:col min="5" max="5" width="12" hidden="0" customWidth="1"/>
    <x:col min="6" max="6" width="9" hidden="0" customWidth="1"/>
    <x:col min="7" max="7" width="12" hidden="0" customWidth="1"/>
    <x:col min="8" max="8" width="13" hidden="0" customWidth="1"/>
    <x:col min="9" max="9" width="14" hidden="0" customWidth="1"/>
    <x:col min="10" max="10" width="9" hidden="0" customWidth="1"/>
    <x:col min="11" max="11" width="10" hidden="0" customWidth="1"/>
    <x:col min="12" max="12" width="14" hidden="0" customWidth="1"/>
    <x:col min="13" max="13" width="9" hidden="0" customWidth="1"/>
    <x:col min="14" max="14" width="11" hidden="0" customWidth="1"/>
    <x:col min="15" max="15" width="13" hidden="0" customWidth="1"/>
    <x:col min="16" max="16" width="15" hidden="0" customWidth="1"/>
    <x:col min="17" max="17" width="15" hidden="0" customWidth="1"/>
    <x:col min="18" max="18" width="15" hidden="0" customWidth="1"/>
    <x:col min="19" max="19" width="13" hidden="0" customWidth="1"/>
    <x:col min="20" max="20" width="15" hidden="0" customWidth="1"/>
  </x:cols>
  <x:sheetData>
    <x:row r="1" ht="30" customHeight="1">
      <x:c r="A1" s="3" t="str">
        <x:v>普通历练、怪物与在线秘境</x:v>
      </x:c>
      <x:c r="B1" s="3" t="str">
        <x:v>普通历练、怪物与在线秘境</x:v>
      </x:c>
      <x:c r="C1" s="3" t="str">
        <x:v>普通历练、怪物与在线秘境</x:v>
      </x:c>
      <x:c r="D1" s="3" t="str">
        <x:v>普通历练、怪物与在线秘境</x:v>
      </x:c>
      <x:c r="E1" s="3" t="str">
        <x:v>普通历练、怪物与在线秘境</x:v>
      </x:c>
      <x:c r="F1" s="3" t="str">
        <x:v>普通历练、怪物与在线秘境</x:v>
      </x:c>
      <x:c r="G1" s="3" t="str">
        <x:v>普通历练、怪物与在线秘境</x:v>
      </x:c>
      <x:c r="H1" s="3" t="str">
        <x:v>普通历练、怪物与在线秘境</x:v>
      </x:c>
      <x:c r="I1" s="3" t="str">
        <x:v>普通历练、怪物与在线秘境</x:v>
      </x:c>
      <x:c r="J1" s="3" t="str">
        <x:v>普通历练、怪物与在线秘境</x:v>
      </x:c>
      <x:c r="K1" s="3" t="str">
        <x:v>普通历练、怪物与在线秘境</x:v>
      </x:c>
      <x:c r="L1" s="3" t="str">
        <x:v>普通历练、怪物与在线秘境</x:v>
      </x:c>
      <x:c r="M1" s="3" t="str">
        <x:v>普通历练、怪物与在线秘境</x:v>
      </x:c>
      <x:c r="N1" s="3" t="str">
        <x:v>普通历练、怪物与在线秘境</x:v>
      </x:c>
      <x:c r="O1" s="3" t="str">
        <x:v>普通历练、怪物与在线秘境</x:v>
      </x:c>
      <x:c r="P1" s="3" t="str">
        <x:v>普通历练、怪物与在线秘境</x:v>
      </x:c>
      <x:c r="Q1" s="3" t="str">
        <x:v>普通历练、怪物与在线秘境</x:v>
      </x:c>
      <x:c r="R1" s="3" t="str">
        <x:v>普通历练、怪物与在线秘境</x:v>
      </x:c>
      <x:c r="S1" s="3" t="str">
        <x:v>普通历练、怪物与在线秘境</x:v>
      </x:c>
      <x:c r="T1" s="3" t="str">
        <x:v>普通历练、怪物与在线秘境</x:v>
      </x:c>
    </x:row>
    <x:row r="2">
      <x:c r="A2" s="7" t="str">
        <x:v>普通历练可稳定挂机；秘境是上线后的配置与路线挑战。秘境机会可累积，奖励偏向高级材料和装备，不成为唯一修为来源。</x:v>
      </x:c>
      <x:c r="B2" s="7" t="str">
        <x:v>普通历练可稳定挂机；秘境是上线后的配置与路线挑战。秘境机会可累积，奖励偏向高级材料和装备，不成为唯一修为来源。</x:v>
      </x:c>
      <x:c r="C2" s="7" t="str">
        <x:v>普通历练可稳定挂机；秘境是上线后的配置与路线挑战。秘境机会可累积，奖励偏向高级材料和装备，不成为唯一修为来源。</x:v>
      </x:c>
      <x:c r="D2" s="7" t="str">
        <x:v>普通历练可稳定挂机；秘境是上线后的配置与路线挑战。秘境机会可累积，奖励偏向高级材料和装备，不成为唯一修为来源。</x:v>
      </x:c>
      <x:c r="E2" s="7" t="str">
        <x:v>普通历练可稳定挂机；秘境是上线后的配置与路线挑战。秘境机会可累积，奖励偏向高级材料和装备，不成为唯一修为来源。</x:v>
      </x:c>
      <x:c r="F2" s="7" t="str">
        <x:v>普通历练可稳定挂机；秘境是上线后的配置与路线挑战。秘境机会可累积，奖励偏向高级材料和装备，不成为唯一修为来源。</x:v>
      </x:c>
      <x:c r="G2" s="7" t="str">
        <x:v>普通历练可稳定挂机；秘境是上线后的配置与路线挑战。秘境机会可累积，奖励偏向高级材料和装备，不成为唯一修为来源。</x:v>
      </x:c>
      <x:c r="H2" s="7" t="str">
        <x:v>普通历练可稳定挂机；秘境是上线后的配置与路线挑战。秘境机会可累积，奖励偏向高级材料和装备，不成为唯一修为来源。</x:v>
      </x:c>
      <x:c r="I2" s="7" t="str">
        <x:v>普通历练可稳定挂机；秘境是上线后的配置与路线挑战。秘境机会可累积，奖励偏向高级材料和装备，不成为唯一修为来源。</x:v>
      </x:c>
      <x:c r="J2" s="7" t="str">
        <x:v>普通历练可稳定挂机；秘境是上线后的配置与路线挑战。秘境机会可累积，奖励偏向高级材料和装备，不成为唯一修为来源。</x:v>
      </x:c>
      <x:c r="K2" s="7" t="str">
        <x:v>普通历练可稳定挂机；秘境是上线后的配置与路线挑战。秘境机会可累积，奖励偏向高级材料和装备，不成为唯一修为来源。</x:v>
      </x:c>
      <x:c r="L2" s="7" t="str">
        <x:v>普通历练可稳定挂机；秘境是上线后的配置与路线挑战。秘境机会可累积，奖励偏向高级材料和装备，不成为唯一修为来源。</x:v>
      </x:c>
      <x:c r="M2" s="7" t="str">
        <x:v>普通历练可稳定挂机；秘境是上线后的配置与路线挑战。秘境机会可累积，奖励偏向高级材料和装备，不成为唯一修为来源。</x:v>
      </x:c>
      <x:c r="N2" s="7" t="str">
        <x:v>普通历练可稳定挂机；秘境是上线后的配置与路线挑战。秘境机会可累积，奖励偏向高级材料和装备，不成为唯一修为来源。</x:v>
      </x:c>
      <x:c r="O2" s="7" t="str">
        <x:v>普通历练可稳定挂机；秘境是上线后的配置与路线挑战。秘境机会可累积，奖励偏向高级材料和装备，不成为唯一修为来源。</x:v>
      </x:c>
      <x:c r="P2" s="7" t="str">
        <x:v>普通历练可稳定挂机；秘境是上线后的配置与路线挑战。秘境机会可累积，奖励偏向高级材料和装备，不成为唯一修为来源。</x:v>
      </x:c>
      <x:c r="Q2" s="7" t="str">
        <x:v>普通历练可稳定挂机；秘境是上线后的配置与路线挑战。秘境机会可累积，奖励偏向高级材料和装备，不成为唯一修为来源。</x:v>
      </x:c>
      <x:c r="R2" s="7" t="str">
        <x:v>普通历练可稳定挂机；秘境是上线后的配置与路线挑战。秘境机会可累积，奖励偏向高级材料和装备，不成为唯一修为来源。</x:v>
      </x:c>
      <x:c r="S2" s="7" t="str">
        <x:v>普通历练可稳定挂机；秘境是上线后的配置与路线挑战。秘境机会可累积，奖励偏向高级材料和装备，不成为唯一修为来源。</x:v>
      </x:c>
      <x:c r="T2" s="7" t="str">
        <x:v>普通历练可稳定挂机；秘境是上线后的配置与路线挑战。秘境机会可累积，奖励偏向高级材料和装备，不成为唯一修为来源。</x:v>
      </x:c>
    </x:row>
    <x:row r="3">
      <x:c r="A3" s="7" t="str">
        <x:v>普通历练可稳定挂机；秘境是上线后的配置与路线挑战。秘境机会可累积，奖励偏向高级材料和装备，不成为唯一修为来源。</x:v>
      </x:c>
      <x:c r="B3" s="7" t="str">
        <x:v>普通历练可稳定挂机；秘境是上线后的配置与路线挑战。秘境机会可累积，奖励偏向高级材料和装备，不成为唯一修为来源。</x:v>
      </x:c>
      <x:c r="C3" s="7" t="str">
        <x:v>普通历练可稳定挂机；秘境是上线后的配置与路线挑战。秘境机会可累积，奖励偏向高级材料和装备，不成为唯一修为来源。</x:v>
      </x:c>
      <x:c r="D3" s="7" t="str">
        <x:v>普通历练可稳定挂机；秘境是上线后的配置与路线挑战。秘境机会可累积，奖励偏向高级材料和装备，不成为唯一修为来源。</x:v>
      </x:c>
      <x:c r="E3" s="7" t="str">
        <x:v>普通历练可稳定挂机；秘境是上线后的配置与路线挑战。秘境机会可累积，奖励偏向高级材料和装备，不成为唯一修为来源。</x:v>
      </x:c>
      <x:c r="F3" s="7" t="str">
        <x:v>普通历练可稳定挂机；秘境是上线后的配置与路线挑战。秘境机会可累积，奖励偏向高级材料和装备，不成为唯一修为来源。</x:v>
      </x:c>
      <x:c r="G3" s="7" t="str">
        <x:v>普通历练可稳定挂机；秘境是上线后的配置与路线挑战。秘境机会可累积，奖励偏向高级材料和装备，不成为唯一修为来源。</x:v>
      </x:c>
      <x:c r="H3" s="7" t="str">
        <x:v>普通历练可稳定挂机；秘境是上线后的配置与路线挑战。秘境机会可累积，奖励偏向高级材料和装备，不成为唯一修为来源。</x:v>
      </x:c>
      <x:c r="I3" s="7" t="str">
        <x:v>普通历练可稳定挂机；秘境是上线后的配置与路线挑战。秘境机会可累积，奖励偏向高级材料和装备，不成为唯一修为来源。</x:v>
      </x:c>
      <x:c r="J3" s="7" t="str">
        <x:v>普通历练可稳定挂机；秘境是上线后的配置与路线挑战。秘境机会可累积，奖励偏向高级材料和装备，不成为唯一修为来源。</x:v>
      </x:c>
      <x:c r="K3" s="7" t="str">
        <x:v>普通历练可稳定挂机；秘境是上线后的配置与路线挑战。秘境机会可累积，奖励偏向高级材料和装备，不成为唯一修为来源。</x:v>
      </x:c>
      <x:c r="L3" s="7" t="str">
        <x:v>普通历练可稳定挂机；秘境是上线后的配置与路线挑战。秘境机会可累积，奖励偏向高级材料和装备，不成为唯一修为来源。</x:v>
      </x:c>
      <x:c r="M3" s="7" t="str">
        <x:v>普通历练可稳定挂机；秘境是上线后的配置与路线挑战。秘境机会可累积，奖励偏向高级材料和装备，不成为唯一修为来源。</x:v>
      </x:c>
      <x:c r="N3" s="7" t="str">
        <x:v>普通历练可稳定挂机；秘境是上线后的配置与路线挑战。秘境机会可累积，奖励偏向高级材料和装备，不成为唯一修为来源。</x:v>
      </x:c>
      <x:c r="O3" s="7" t="str">
        <x:v>普通历练可稳定挂机；秘境是上线后的配置与路线挑战。秘境机会可累积，奖励偏向高级材料和装备，不成为唯一修为来源。</x:v>
      </x:c>
      <x:c r="P3" s="7" t="str">
        <x:v>普通历练可稳定挂机；秘境是上线后的配置与路线挑战。秘境机会可累积，奖励偏向高级材料和装备，不成为唯一修为来源。</x:v>
      </x:c>
      <x:c r="Q3" s="7" t="str">
        <x:v>普通历练可稳定挂机；秘境是上线后的配置与路线挑战。秘境机会可累积，奖励偏向高级材料和装备，不成为唯一修为来源。</x:v>
      </x:c>
      <x:c r="R3" s="7" t="str">
        <x:v>普通历练可稳定挂机；秘境是上线后的配置与路线挑战。秘境机会可累积，奖励偏向高级材料和装备，不成为唯一修为来源。</x:v>
      </x:c>
      <x:c r="S3" s="7" t="str">
        <x:v>普通历练可稳定挂机；秘境是上线后的配置与路线挑战。秘境机会可累积，奖励偏向高级材料和装备，不成为唯一修为来源。</x:v>
      </x:c>
      <x:c r="T3" s="7" t="str">
        <x:v>普通历练可稳定挂机；秘境是上线后的配置与路线挑战。秘境机会可累积，奖励偏向高级材料和装备，不成为唯一修为来源。</x:v>
      </x:c>
    </x:row>
    <x:row r="5" ht="28" customHeight="1">
      <x:c r="A5" s="19" t="str">
        <x:v>怪物</x:v>
      </x:c>
      <x:c r="B5" s="20" t="str">
        <x:v>区域</x:v>
      </x:c>
      <x:c r="C5" s="20" t="str">
        <x:v>境界</x:v>
      </x:c>
      <x:c r="D5" s="20" t="str">
        <x:v>生命</x:v>
      </x:c>
      <x:c r="E5" s="20" t="str">
        <x:v>攻击</x:v>
      </x:c>
      <x:c r="F5" s="20" t="str">
        <x:v>防御</x:v>
      </x:c>
      <x:c r="G5" s="20" t="str">
        <x:v>攻击间隔</x:v>
      </x:c>
      <x:c r="H5" s="20" t="str">
        <x:v>基准战斗秒</x:v>
      </x:c>
      <x:c r="I5" s="20" t="str">
        <x:v>掉落1</x:v>
      </x:c>
      <x:c r="J5" s="20" t="str">
        <x:v>数量1</x:v>
      </x:c>
      <x:c r="K5" s="20" t="str">
        <x:v>概率1</x:v>
      </x:c>
      <x:c r="L5" s="20" t="str">
        <x:v>掉落2</x:v>
      </x:c>
      <x:c r="M5" s="20" t="str">
        <x:v>数量2</x:v>
      </x:c>
      <x:c r="N5" s="20" t="str">
        <x:v>概率2</x:v>
      </x:c>
      <x:c r="O5" s="20" t="str">
        <x:v>灵石/只</x:v>
      </x:c>
      <x:c r="P5" s="20" t="str">
        <x:v>击杀/小时</x:v>
      </x:c>
      <x:c r="Q5" s="20" t="str">
        <x:v>掉落价值/只</x:v>
      </x:c>
      <x:c r="R5" s="20" t="str">
        <x:v>总价值/小时</x:v>
      </x:c>
      <x:c r="S5" s="20" t="str">
        <x:v>补给/小时</x:v>
      </x:c>
      <x:c r="T5" s="21" t="str">
        <x:v>净价值/小时</x:v>
      </x:c>
    </x:row>
    <x:row r="6">
      <x:c r="A6" s="29" t="str">
        <x:v>青蛇</x:v>
      </x:c>
      <x:c r="B6" s="29" t="str">
        <x:v>百草谷</x:v>
      </x:c>
      <x:c r="C6" s="29" t="str">
        <x:v>凡人</x:v>
      </x:c>
      <x:c r="D6" s="29" t="n">
        <x:v>120</x:v>
      </x:c>
      <x:c r="E6" s="29" t="n">
        <x:v>12</x:v>
      </x:c>
      <x:c r="F6" s="29" t="n">
        <x:v>4</x:v>
      </x:c>
      <x:c r="G6" s="29" t="n">
        <x:v>2.5</x:v>
      </x:c>
      <x:c r="H6" s="29" t="n">
        <x:v>25</x:v>
      </x:c>
      <x:c r="I6" s="29" t="str">
        <x:v>青蛇胆</x:v>
      </x:c>
      <x:c r="J6" s="29" t="n">
        <x:v>1</x:v>
      </x:c>
      <x:c r="K6" s="70" t="n">
        <x:v>0.35</x:v>
      </x:c>
      <x:c r="L6" s="29" t="str">
        <x:v>青灵草</x:v>
      </x:c>
      <x:c r="M6" s="29" t="n">
        <x:v>2</x:v>
      </x:c>
      <x:c r="N6" s="70" t="n">
        <x:v>0.6</x:v>
      </x:c>
      <x:c r="O6" s="29" t="n">
        <x:v>2</x:v>
      </x:c>
      <x:c r="P6" s="39" t="n">
        <x:f>'01_核心假设'!$B$6/H6</x:f>
        <x:v>144</x:v>
      </x:c>
      <x:c r="Q6" s="39" t="n">
        <x:f>J6*K6*IF(I6="",0,IFERROR(VLOOKUP(I6,'14_市场基准价'!$A$6:$J$80,4,FALSE),0))+M6*N6*IF(L6="",0,IFERROR(VLOOKUP(L6,'14_市场基准价'!$A$6:$J$80,4,FALSE),0))</x:f>
        <x:v>8.7</x:v>
      </x:c>
      <x:c r="R6" s="39" t="n">
        <x:f>P6*(Q6+O6)</x:f>
        <x:v>1540.8</x:v>
      </x:c>
      <x:c r="S6" s="39" t="n">
        <x:f>'01_核心假设'!$B$39</x:f>
        <x:v>12</x:v>
      </x:c>
      <x:c r="T6" s="39" t="n">
        <x:f>R6-S6</x:f>
        <x:v>1528.8</x:v>
      </x:c>
    </x:row>
    <x:row r="7">
      <x:c r="A7" s="30" t="str">
        <x:v>竹叶妖</x:v>
      </x:c>
      <x:c r="B7" s="30" t="str">
        <x:v>青竹林</x:v>
      </x:c>
      <x:c r="C7" s="30" t="str">
        <x:v>炼气</x:v>
      </x:c>
      <x:c r="D7" s="30" t="n">
        <x:v>220</x:v>
      </x:c>
      <x:c r="E7" s="30" t="n">
        <x:v>18</x:v>
      </x:c>
      <x:c r="F7" s="30" t="n">
        <x:v>8</x:v>
      </x:c>
      <x:c r="G7" s="30" t="n">
        <x:v>2.4</x:v>
      </x:c>
      <x:c r="H7" s="30" t="n">
        <x:v>34</x:v>
      </x:c>
      <x:c r="I7" s="30" t="str">
        <x:v>青竹</x:v>
      </x:c>
      <x:c r="J7" s="30" t="n">
        <x:v>3</x:v>
      </x:c>
      <x:c r="K7" s="33" t="n">
        <x:v>0.7</x:v>
      </x:c>
      <x:c r="L7" s="30" t="str">
        <x:v>凝露花</x:v>
      </x:c>
      <x:c r="M7" s="30" t="n">
        <x:v>1</x:v>
      </x:c>
      <x:c r="N7" s="33" t="n">
        <x:v>0.15</x:v>
      </x:c>
      <x:c r="O7" s="30" t="n">
        <x:v>3</x:v>
      </x:c>
      <x:c r="P7" s="41" t="n">
        <x:f>'01_核心假设'!$B$6/H7</x:f>
        <x:v>105.88235294117646</x:v>
      </x:c>
      <x:c r="Q7" s="41" t="n">
        <x:f>J7*K7*IF(I7="",0,IFERROR(VLOOKUP(I7,'14_市场基准价'!$A$6:$J$80,4,FALSE),0))+M7*N7*IF(L7="",0,IFERROR(VLOOKUP(L7,'14_市场基准价'!$A$6:$J$80,4,FALSE),0))</x:f>
        <x:v>5.3999999999999995</x:v>
      </x:c>
      <x:c r="R7" s="41" t="n">
        <x:f>P7*(Q7+O7)</x:f>
        <x:v>889.4117647058821</x:v>
      </x:c>
      <x:c r="S7" s="41" t="n">
        <x:f>'01_核心假设'!$B$39</x:f>
        <x:v>12</x:v>
      </x:c>
      <x:c r="T7" s="41" t="n">
        <x:f>R7-S7</x:f>
        <x:v>877.4117647058821</x:v>
      </x:c>
    </x:row>
    <x:row r="8">
      <x:c r="A8" s="30" t="str">
        <x:v>灰狼</x:v>
      </x:c>
      <x:c r="B8" s="30" t="str">
        <x:v>黑石坡</x:v>
      </x:c>
      <x:c r="C8" s="30" t="str">
        <x:v>炼气</x:v>
      </x:c>
      <x:c r="D8" s="30" t="n">
        <x:v>360</x:v>
      </x:c>
      <x:c r="E8" s="30" t="n">
        <x:v>26</x:v>
      </x:c>
      <x:c r="F8" s="30" t="n">
        <x:v>12</x:v>
      </x:c>
      <x:c r="G8" s="30" t="n">
        <x:v>2.2</x:v>
      </x:c>
      <x:c r="H8" s="30" t="n">
        <x:v>45</x:v>
      </x:c>
      <x:c r="I8" s="30" t="str">
        <x:v>妖狼牙</x:v>
      </x:c>
      <x:c r="J8" s="30" t="n">
        <x:v>1</x:v>
      </x:c>
      <x:c r="K8" s="33" t="n">
        <x:v>0.45</x:v>
      </x:c>
      <x:c r="L8" s="30" t="str">
        <x:v>妖丹</x:v>
      </x:c>
      <x:c r="M8" s="30" t="n">
        <x:v>1</x:v>
      </x:c>
      <x:c r="N8" s="33" t="n">
        <x:v>0.025</x:v>
      </x:c>
      <x:c r="O8" s="30" t="n">
        <x:v>5</x:v>
      </x:c>
      <x:c r="P8" s="41" t="n">
        <x:f>'01_核心假设'!$B$6/H8</x:f>
        <x:v>80</x:v>
      </x:c>
      <x:c r="Q8" s="41" t="n">
        <x:f>J8*K8*IF(I8="",0,IFERROR(VLOOKUP(I8,'14_市场基准价'!$A$6:$J$80,4,FALSE),0))+M8*N8*IF(L8="",0,IFERROR(VLOOKUP(L8,'14_市场基准价'!$A$6:$J$80,4,FALSE),0))</x:f>
        <x:v>13.5</x:v>
      </x:c>
      <x:c r="R8" s="41" t="n">
        <x:f>P8*(Q8+O8)</x:f>
        <x:v>1480</x:v>
      </x:c>
      <x:c r="S8" s="41" t="n">
        <x:f>'01_核心假设'!$B$39</x:f>
        <x:v>12</x:v>
      </x:c>
      <x:c r="T8" s="41" t="n">
        <x:f>R8-S8</x:f>
        <x:v>1468</x:v>
      </x:c>
    </x:row>
    <x:row r="9">
      <x:c r="A9" s="30" t="str">
        <x:v>石甲兽</x:v>
      </x:c>
      <x:c r="B9" s="30" t="str">
        <x:v>玄铁岭</x:v>
      </x:c>
      <x:c r="C9" s="30" t="str">
        <x:v>炼气</x:v>
      </x:c>
      <x:c r="D9" s="30" t="n">
        <x:v>520</x:v>
      </x:c>
      <x:c r="E9" s="30" t="n">
        <x:v>34</x:v>
      </x:c>
      <x:c r="F9" s="30" t="n">
        <x:v>22</x:v>
      </x:c>
      <x:c r="G9" s="30" t="n">
        <x:v>2.8</x:v>
      </x:c>
      <x:c r="H9" s="30" t="n">
        <x:v>58</x:v>
      </x:c>
      <x:c r="I9" s="30" t="str">
        <x:v>石甲</x:v>
      </x:c>
      <x:c r="J9" s="30" t="n">
        <x:v>1</x:v>
      </x:c>
      <x:c r="K9" s="33" t="n">
        <x:v>0.5</x:v>
      </x:c>
      <x:c r="L9" s="30" t="str">
        <x:v>玄铁矿</x:v>
      </x:c>
      <x:c r="M9" s="30" t="n">
        <x:v>2</x:v>
      </x:c>
      <x:c r="N9" s="33" t="n">
        <x:v>0.3</x:v>
      </x:c>
      <x:c r="O9" s="30" t="n">
        <x:v>7</x:v>
      </x:c>
      <x:c r="P9" s="41" t="n">
        <x:f>'01_核心假设'!$B$6/H9</x:f>
        <x:v>62.06896551724138</x:v>
      </x:c>
      <x:c r="Q9" s="41" t="n">
        <x:f>J9*K9*IF(I9="",0,IFERROR(VLOOKUP(I9,'14_市场基准价'!$A$6:$J$80,4,FALSE),0))+M9*N9*IF(L9="",0,IFERROR(VLOOKUP(L9,'14_市场基准价'!$A$6:$J$80,4,FALSE),0))</x:f>
        <x:v>22.2</x:v>
      </x:c>
      <x:c r="R9" s="41" t="n">
        <x:f>P9*(Q9+O9)</x:f>
        <x:v>1812.4137931034484</x:v>
      </x:c>
      <x:c r="S9" s="41" t="n">
        <x:f>'01_核心假设'!$B$39</x:f>
        <x:v>12</x:v>
      </x:c>
      <x:c r="T9" s="41" t="n">
        <x:f>R9-S9</x:f>
        <x:v>1800.4137931034484</x:v>
      </x:c>
    </x:row>
    <x:row r="10">
      <x:c r="A10" s="30" t="str">
        <x:v>黑风妖狼</x:v>
      </x:c>
      <x:c r="B10" s="30" t="str">
        <x:v>黑风谷</x:v>
      </x:c>
      <x:c r="C10" s="30" t="str">
        <x:v>炼气</x:v>
      </x:c>
      <x:c r="D10" s="30" t="n">
        <x:v>850</x:v>
      </x:c>
      <x:c r="E10" s="30" t="n">
        <x:v>48</x:v>
      </x:c>
      <x:c r="F10" s="30" t="n">
        <x:v>30</x:v>
      </x:c>
      <x:c r="G10" s="30" t="n">
        <x:v>2.1</x:v>
      </x:c>
      <x:c r="H10" s="30" t="n">
        <x:v>75</x:v>
      </x:c>
      <x:c r="I10" s="30" t="str">
        <x:v>妖狼牙</x:v>
      </x:c>
      <x:c r="J10" s="30" t="n">
        <x:v>2</x:v>
      </x:c>
      <x:c r="K10" s="33" t="n">
        <x:v>0.55</x:v>
      </x:c>
      <x:c r="L10" s="30" t="str">
        <x:v>黑风晶</x:v>
      </x:c>
      <x:c r="M10" s="30" t="n">
        <x:v>1</x:v>
      </x:c>
      <x:c r="N10" s="33" t="n">
        <x:v>0.03</x:v>
      </x:c>
      <x:c r="O10" s="30" t="n">
        <x:v>12</x:v>
      </x:c>
      <x:c r="P10" s="41" t="n">
        <x:f>'01_核心假设'!$B$6/H10</x:f>
        <x:v>48</x:v>
      </x:c>
      <x:c r="Q10" s="41" t="n">
        <x:f>J10*K10*IF(I10="",0,IFERROR(VLOOKUP(I10,'14_市场基准价'!$A$6:$J$80,4,FALSE),0))+M10*N10*IF(L10="",0,IFERROR(VLOOKUP(L10,'14_市场基准价'!$A$6:$J$80,4,FALSE),0))</x:f>
        <x:v>35.300000000000004</x:v>
      </x:c>
      <x:c r="R10" s="41" t="n">
        <x:f>P10*(Q10+O10)</x:f>
        <x:v>2270.4</x:v>
      </x:c>
      <x:c r="S10" s="41" t="n">
        <x:f>'01_核心假设'!$B$39</x:f>
        <x:v>12</x:v>
      </x:c>
      <x:c r="T10" s="41" t="n">
        <x:f>R10-S10</x:f>
        <x:v>2258.4</x:v>
      </x:c>
    </x:row>
    <x:row r="11">
      <x:c r="A11" s="30" t="str">
        <x:v>灵泉守卫</x:v>
      </x:c>
      <x:c r="B11" s="30" t="str">
        <x:v>灵泉谷</x:v>
      </x:c>
      <x:c r="C11" s="30" t="str">
        <x:v>筑基</x:v>
      </x:c>
      <x:c r="D11" s="30" t="n">
        <x:v>1400</x:v>
      </x:c>
      <x:c r="E11" s="30" t="n">
        <x:v>70</x:v>
      </x:c>
      <x:c r="F11" s="30" t="n">
        <x:v>48</x:v>
      </x:c>
      <x:c r="G11" s="30" t="n">
        <x:v>2.4</x:v>
      </x:c>
      <x:c r="H11" s="30" t="n">
        <x:v>95</x:v>
      </x:c>
      <x:c r="I11" s="30" t="str">
        <x:v>灵髓</x:v>
      </x:c>
      <x:c r="J11" s="30" t="n">
        <x:v>1</x:v>
      </x:c>
      <x:c r="K11" s="33" t="n">
        <x:v>0.12</x:v>
      </x:c>
      <x:c r="L11" s="30" t="str">
        <x:v>地脉参</x:v>
      </x:c>
      <x:c r="M11" s="30" t="n">
        <x:v>1</x:v>
      </x:c>
      <x:c r="N11" s="33" t="n">
        <x:v>0.4</x:v>
      </x:c>
      <x:c r="O11" s="30" t="n">
        <x:v>18</x:v>
      </x:c>
      <x:c r="P11" s="41" t="n">
        <x:f>'01_核心假设'!$B$6/H11</x:f>
        <x:v>37.89473684210526</x:v>
      </x:c>
      <x:c r="Q11" s="41" t="n">
        <x:f>J11*K11*IF(I11="",0,IFERROR(VLOOKUP(I11,'14_市场基准价'!$A$6:$J$80,4,FALSE),0))+M11*N11*IF(L11="",0,IFERROR(VLOOKUP(L11,'14_市场基准价'!$A$6:$J$80,4,FALSE),0))</x:f>
        <x:v>32.4</x:v>
      </x:c>
      <x:c r="R11" s="41" t="n">
        <x:f>P11*(Q11+O11)</x:f>
        <x:v>1909.894736842105</x:v>
      </x:c>
      <x:c r="S11" s="41" t="n">
        <x:f>'01_核心假设'!$B$39</x:f>
        <x:v>12</x:v>
      </x:c>
      <x:c r="T11" s="41" t="n">
        <x:f>R11-S11</x:f>
        <x:v>1897.894736842105</x:v>
      </x:c>
    </x:row>
    <x:row r="12">
      <x:c r="A12" s="31" t="str">
        <x:v>黑风妖王</x:v>
      </x:c>
      <x:c r="B12" s="31" t="str">
        <x:v>黑风秘境</x:v>
      </x:c>
      <x:c r="C12" s="31" t="str">
        <x:v>筑基</x:v>
      </x:c>
      <x:c r="D12" s="31" t="n">
        <x:v>5200</x:v>
      </x:c>
      <x:c r="E12" s="31" t="n">
        <x:v>145</x:v>
      </x:c>
      <x:c r="F12" s="31" t="n">
        <x:v>90</x:v>
      </x:c>
      <x:c r="G12" s="31" t="n">
        <x:v>2</x:v>
      </x:c>
      <x:c r="H12" s="31" t="n">
        <x:v>210</x:v>
      </x:c>
      <x:c r="I12" s="31" t="str">
        <x:v>黑风晶</x:v>
      </x:c>
      <x:c r="J12" s="31" t="n">
        <x:v>2</x:v>
      </x:c>
      <x:c r="K12" s="71" t="n">
        <x:v>0.65</x:v>
      </x:c>
      <x:c r="L12" s="31" t="str">
        <x:v>妖丹</x:v>
      </x:c>
      <x:c r="M12" s="31" t="n">
        <x:v>2</x:v>
      </x:c>
      <x:c r="N12" s="71" t="n">
        <x:v>0.7</x:v>
      </x:c>
      <x:c r="O12" s="31" t="n">
        <x:v>50</x:v>
      </x:c>
      <x:c r="P12" s="43" t="n">
        <x:f>'01_核心假设'!$B$6/H12</x:f>
        <x:v>17.142857142857142</x:v>
      </x:c>
      <x:c r="Q12" s="43" t="n">
        <x:f>J12*K12*IF(I12="",0,IFERROR(VLOOKUP(I12,'14_市场基准价'!$A$6:$J$80,4,FALSE),0))+M12*N12*IF(L12="",0,IFERROR(VLOOKUP(L12,'14_市场基准价'!$A$6:$J$80,4,FALSE),0))</x:f>
        <x:v>464</x:v>
      </x:c>
      <x:c r="R12" s="43" t="n">
        <x:f>P12*(Q12+O12)</x:f>
        <x:v>8811.42857142857</x:v>
      </x:c>
      <x:c r="S12" s="43" t="n">
        <x:f>'01_核心假设'!$B$39</x:f>
        <x:v>12</x:v>
      </x:c>
      <x:c r="T12" s="43" t="n">
        <x:f>R12-S12</x:f>
        <x:v>8799.42857142857</x:v>
      </x:c>
    </x:row>
    <x:row r="17" ht="28" customHeight="1">
      <x:c r="A17" s="19" t="str">
        <x:v>秘境</x:v>
      </x:c>
      <x:c r="B17" s="20" t="str">
        <x:v>阶级</x:v>
      </x:c>
      <x:c r="C17" s="20" t="str">
        <x:v>境界</x:v>
      </x:c>
      <x:c r="D17" s="20" t="str">
        <x:v>主动分钟</x:v>
      </x:c>
      <x:c r="E17" s="20" t="str">
        <x:v>入场物</x:v>
      </x:c>
      <x:c r="F17" s="20" t="str">
        <x:v>数量</x:v>
      </x:c>
      <x:c r="G17" s="20" t="str">
        <x:v>基础成功率</x:v>
      </x:c>
      <x:c r="H17" s="20" t="str">
        <x:v>修为/次</x:v>
      </x:c>
      <x:c r="I17" s="20" t="str">
        <x:v>稀有材料</x:v>
      </x:c>
      <x:c r="J17" s="20" t="str">
        <x:v>数量</x:v>
      </x:c>
      <x:c r="K17" s="20" t="str">
        <x:v>掉率</x:v>
      </x:c>
      <x:c r="L17" s="20" t="str">
        <x:v>装备掉落</x:v>
      </x:c>
      <x:c r="M17" s="20" t="str">
        <x:v>掉率</x:v>
      </x:c>
      <x:c r="N17" s="20" t="str">
        <x:v>机会/日</x:v>
      </x:c>
      <x:c r="O17" s="20" t="str">
        <x:v>入场成本</x:v>
      </x:c>
      <x:c r="P17" s="20" t="str">
        <x:v>期望战利品</x:v>
      </x:c>
      <x:c r="Q17" s="20" t="str">
        <x:v>期望净值/次</x:v>
      </x:c>
      <x:c r="R17" s="21" t="str">
        <x:v>主动价值/小时</x:v>
      </x:c>
    </x:row>
    <x:row r="18">
      <x:c r="A18" s="29" t="str">
        <x:v>青蛇洞</x:v>
      </x:c>
      <x:c r="B18" s="29" t="n">
        <x:v>1</x:v>
      </x:c>
      <x:c r="C18" s="29" t="str">
        <x:v>炼气</x:v>
      </x:c>
      <x:c r="D18" s="29" t="n">
        <x:v>8</x:v>
      </x:c>
      <x:c r="E18" s="29" t="str"/>
      <x:c r="F18" s="29" t="n">
        <x:v>0</x:v>
      </x:c>
      <x:c r="G18" s="70" t="n">
        <x:v>0.9</x:v>
      </x:c>
      <x:c r="H18" s="29" t="n">
        <x:v>250</x:v>
      </x:c>
      <x:c r="I18" s="29" t="str">
        <x:v>灵髓</x:v>
      </x:c>
      <x:c r="J18" s="29" t="n">
        <x:v>1</x:v>
      </x:c>
      <x:c r="K18" s="70" t="n">
        <x:v>0.18</x:v>
      </x:c>
      <x:c r="L18" s="29" t="str">
        <x:v>青玉佩</x:v>
      </x:c>
      <x:c r="M18" s="70" t="n">
        <x:v>0.05</x:v>
      </x:c>
      <x:c r="N18" s="39" t="n">
        <x:f>'01_核心假设'!$B$7/'01_核心假设'!$B$24*'01_核心假设'!$B$27</x:f>
        <x:v>1.6</x:v>
      </x:c>
      <x:c r="O18" s="39" t="n">
        <x:f>F18*IF(E18="",0,IFERROR(VLOOKUP(E18,'14_市场基准价'!$A$6:$J$80,4,FALSE),0))</x:f>
        <x:v>0</x:v>
      </x:c>
      <x:c r="P18" s="39" t="n">
        <x:f>G18*(J18*K18*IF(I18="",0,IFERROR(VLOOKUP(I18,'14_市场基准价'!$A$6:$J$80,4,FALSE),0))+M18*IF(L18="",0,IFERROR(VLOOKUP(L18,'14_市场基准价'!$A$6:$J$80,4,FALSE),0))+'01_核心假设'!$B$28)</x:f>
        <x:v>491.94000000000005</x:v>
      </x:c>
      <x:c r="Q18" s="39" t="n">
        <x:f>P18-O18</x:f>
        <x:v>491.94000000000005</x:v>
      </x:c>
      <x:c r="R18" s="39" t="n">
        <x:f>Q18*'01_核心假设'!$B$8/D18</x:f>
        <x:v>3689.55</x:v>
      </x:c>
    </x:row>
    <x:row r="19">
      <x:c r="A19" s="30" t="str">
        <x:v>玄铁秘窟</x:v>
      </x:c>
      <x:c r="B19" s="30" t="n">
        <x:v>1</x:v>
      </x:c>
      <x:c r="C19" s="30" t="str">
        <x:v>炼气</x:v>
      </x:c>
      <x:c r="D19" s="30" t="n">
        <x:v>10</x:v>
      </x:c>
      <x:c r="E19" s="30" t="str">
        <x:v>秘境残片</x:v>
      </x:c>
      <x:c r="F19" s="30" t="n">
        <x:v>1</x:v>
      </x:c>
      <x:c r="G19" s="33" t="n">
        <x:v>0.78</x:v>
      </x:c>
      <x:c r="H19" s="30" t="n">
        <x:v>400</x:v>
      </x:c>
      <x:c r="I19" s="30" t="str">
        <x:v>黑风晶</x:v>
      </x:c>
      <x:c r="J19" s="30" t="n">
        <x:v>1</x:v>
      </x:c>
      <x:c r="K19" s="33" t="n">
        <x:v>0.22</x:v>
      </x:c>
      <x:c r="L19" s="30" t="str">
        <x:v>玄铁剑</x:v>
      </x:c>
      <x:c r="M19" s="33" t="n">
        <x:v>0.06</x:v>
      </x:c>
      <x:c r="N19" s="41" t="n">
        <x:f>'01_核心假设'!$B$7/'01_核心假设'!$B$24*'01_核心假设'!$B$27</x:f>
        <x:v>1.6</x:v>
      </x:c>
      <x:c r="O19" s="41" t="n">
        <x:f>F19*IF(E19="",0,IFERROR(VLOOKUP(E19,'14_市场基准价'!$A$6:$J$80,4,FALSE),0))</x:f>
        <x:v>180</x:v>
      </x:c>
      <x:c r="P19" s="41" t="n">
        <x:f>G19*(J19*K19*IF(I19="",0,IFERROR(VLOOKUP(I19,'14_市场基准价'!$A$6:$J$80,4,FALSE),0))+M19*IF(L19="",0,IFERROR(VLOOKUP(L19,'14_市场基准价'!$A$6:$J$80,4,FALSE),0))+'01_核心假设'!$B$28)</x:f>
        <x:v>476.73600000000005</x:v>
      </x:c>
      <x:c r="Q19" s="41" t="n">
        <x:f>P19-O19</x:f>
        <x:v>296.73600000000005</x:v>
      </x:c>
      <x:c r="R19" s="41" t="n">
        <x:f>Q19*'01_核心假设'!$B$8/D19</x:f>
        <x:v>1780.4160000000004</x:v>
      </x:c>
    </x:row>
    <x:row r="20">
      <x:c r="A20" s="30" t="str">
        <x:v>黑风秘境</x:v>
      </x:c>
      <x:c r="B20" s="30" t="n">
        <x:v>2</x:v>
      </x:c>
      <x:c r="C20" s="30" t="str">
        <x:v>筑基</x:v>
      </x:c>
      <x:c r="D20" s="30" t="n">
        <x:v>12</x:v>
      </x:c>
      <x:c r="E20" s="30" t="str">
        <x:v>秘境残片</x:v>
      </x:c>
      <x:c r="F20" s="30" t="n">
        <x:v>1</x:v>
      </x:c>
      <x:c r="G20" s="33" t="n">
        <x:v>0.65</x:v>
      </x:c>
      <x:c r="H20" s="30" t="n">
        <x:v>700</x:v>
      </x:c>
      <x:c r="I20" s="30" t="str">
        <x:v>黑风晶</x:v>
      </x:c>
      <x:c r="J20" s="30" t="n">
        <x:v>2</x:v>
      </x:c>
      <x:c r="K20" s="33" t="n">
        <x:v>0.55</x:v>
      </x:c>
      <x:c r="L20" s="30" t="str">
        <x:v>黑风剑</x:v>
      </x:c>
      <x:c r="M20" s="33" t="n">
        <x:v>0.035</x:v>
      </x:c>
      <x:c r="N20" s="41" t="n">
        <x:f>'01_核心假设'!$B$7/'01_核心假设'!$B$24*'01_核心假设'!$B$27</x:f>
        <x:v>1.6</x:v>
      </x:c>
      <x:c r="O20" s="41" t="n">
        <x:f>F20*IF(E20="",0,IFERROR(VLOOKUP(E20,'14_市场基准价'!$A$6:$J$80,4,FALSE),0))</x:f>
        <x:v>180</x:v>
      </x:c>
      <x:c r="P20" s="41" t="n">
        <x:f>G20*(J20*K20*IF(I20="",0,IFERROR(VLOOKUP(I20,'14_市场基准价'!$A$6:$J$80,4,FALSE),0))+M20*IF(L20="",0,IFERROR(VLOOKUP(L20,'14_市场基准价'!$A$6:$J$80,4,FALSE),0))+'01_核心假设'!$B$28)</x:f>
        <x:v>783.9</x:v>
      </x:c>
      <x:c r="Q20" s="41" t="n">
        <x:f>P20-O20</x:f>
        <x:v>603.9</x:v>
      </x:c>
      <x:c r="R20" s="41" t="n">
        <x:f>Q20*'01_核心假设'!$B$8/D20</x:f>
        <x:v>3019.5</x:v>
      </x:c>
    </x:row>
    <x:row r="21">
      <x:c r="A21" s="31" t="str">
        <x:v>古修洞府</x:v>
      </x:c>
      <x:c r="B21" s="31" t="n">
        <x:v>3</x:v>
      </x:c>
      <x:c r="C21" s="31" t="str">
        <x:v>金丹</x:v>
      </x:c>
      <x:c r="D21" s="31" t="n">
        <x:v>15</x:v>
      </x:c>
      <x:c r="E21" s="31" t="str">
        <x:v>秘境残片</x:v>
      </x:c>
      <x:c r="F21" s="31" t="n">
        <x:v>2</x:v>
      </x:c>
      <x:c r="G21" s="71" t="n">
        <x:v>0.55</x:v>
      </x:c>
      <x:c r="H21" s="31" t="n">
        <x:v>1200</x:v>
      </x:c>
      <x:c r="I21" s="31" t="str">
        <x:v>灵玉矿</x:v>
      </x:c>
      <x:c r="J21" s="31" t="n">
        <x:v>3</x:v>
      </x:c>
      <x:c r="K21" s="71" t="n">
        <x:v>0.7</x:v>
      </x:c>
      <x:c r="L21" s="31" t="str">
        <x:v>筑基飞剑</x:v>
      </x:c>
      <x:c r="M21" s="71" t="n">
        <x:v>0.06</x:v>
      </x:c>
      <x:c r="N21" s="43" t="n">
        <x:f>'01_核心假设'!$B$7/'01_核心假设'!$B$24*'01_核心假设'!$B$27</x:f>
        <x:v>1.6</x:v>
      </x:c>
      <x:c r="O21" s="43" t="n">
        <x:f>F21*IF(E21="",0,IFERROR(VLOOKUP(E21,'14_市场基准价'!$A$6:$J$80,4,FALSE),0))</x:f>
        <x:v>360</x:v>
      </x:c>
      <x:c r="P21" s="43" t="n">
        <x:f>G21*(J21*K21*IF(I21="",0,IFERROR(VLOOKUP(I21,'14_市场基准价'!$A$6:$J$80,4,FALSE),0))+M21*IF(L21="",0,IFERROR(VLOOKUP(L21,'14_市场基准价'!$A$6:$J$80,4,FALSE),0))+'01_核心假设'!$B$28)</x:f>
        <x:v>647.9000000000001</x:v>
      </x:c>
      <x:c r="Q21" s="43" t="n">
        <x:f>P21-O21</x:f>
        <x:v>287.9000000000001</x:v>
      </x:c>
      <x:c r="R21" s="43" t="n">
        <x:f>Q21*'01_核心假设'!$B$8/D21</x:f>
        <x:v>1151.6000000000006</x:v>
      </x:c>
    </x:row>
  </x:sheetData>
  <x:mergeCells>
    <x:mergeCell ref="A1:T1"/>
    <x:mergeCell ref="A2:T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9" hidden="0" customWidth="1"/>
    <x:col min="5" max="5" width="14" hidden="0" customWidth="1"/>
    <x:col min="6" max="6" width="9" hidden="0" customWidth="1"/>
    <x:col min="7" max="7" width="14" hidden="0" customWidth="1"/>
    <x:col min="8" max="8" width="9" hidden="0" customWidth="1"/>
    <x:col min="9" max="9" width="13" hidden="0" customWidth="1"/>
    <x:col min="10" max="10" width="11" hidden="0" customWidth="1"/>
    <x:col min="11" max="11" width="10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5" hidden="0" customWidth="1"/>
    <x:col min="17" max="17" width="15" hidden="0" customWidth="1"/>
    <x:col min="18" max="18" width="36" hidden="0" customWidth="1"/>
  </x:cols>
  <x:sheetData>
    <x:row r="1" ht="30" customHeight="1">
      <x:c r="A1" s="3" t="str">
        <x:v>境界突破成本与准备周期</x:v>
      </x:c>
      <x:c r="B1" s="3" t="str">
        <x:v>境界突破成本与准备周期</x:v>
      </x:c>
      <x:c r="C1" s="3" t="str">
        <x:v>境界突破成本与准备周期</x:v>
      </x:c>
      <x:c r="D1" s="3" t="str">
        <x:v>境界突破成本与准备周期</x:v>
      </x:c>
      <x:c r="E1" s="3" t="str">
        <x:v>境界突破成本与准备周期</x:v>
      </x:c>
      <x:c r="F1" s="3" t="str">
        <x:v>境界突破成本与准备周期</x:v>
      </x:c>
      <x:c r="G1" s="3" t="str">
        <x:v>境界突破成本与准备周期</x:v>
      </x:c>
      <x:c r="H1" s="3" t="str">
        <x:v>境界突破成本与准备周期</x:v>
      </x:c>
      <x:c r="I1" s="3" t="str">
        <x:v>境界突破成本与准备周期</x:v>
      </x:c>
      <x:c r="J1" s="3" t="str">
        <x:v>境界突破成本与准备周期</x:v>
      </x:c>
      <x:c r="K1" s="3" t="str">
        <x:v>境界突破成本与准备周期</x:v>
      </x:c>
      <x:c r="L1" s="3" t="str">
        <x:v>境界突破成本与准备周期</x:v>
      </x:c>
      <x:c r="M1" s="3" t="str">
        <x:v>境界突破成本与准备周期</x:v>
      </x:c>
      <x:c r="N1" s="3" t="str">
        <x:v>境界突破成本与准备周期</x:v>
      </x:c>
      <x:c r="O1" s="3" t="str">
        <x:v>境界突破成本与准备周期</x:v>
      </x:c>
      <x:c r="P1" s="3" t="str">
        <x:v>境界突破成本与准备周期</x:v>
      </x:c>
      <x:c r="Q1" s="3" t="str">
        <x:v>境界突破成本与准备周期</x:v>
      </x:c>
      <x:c r="R1" s="3" t="str">
        <x:v>境界突破成本与准备周期</x:v>
      </x:c>
    </x:row>
    <x:row r="2">
      <x:c r="A2" s="7" t="str">
        <x:v>突破由修为、丹药、材料、灵石与试炼共同构成。V0.1准备充分后成功率100%，随机性不摧毁长期投入。</x:v>
      </x:c>
      <x:c r="B2" s="7" t="str">
        <x:v>突破由修为、丹药、材料、灵石与试炼共同构成。V0.1准备充分后成功率100%，随机性不摧毁长期投入。</x:v>
      </x:c>
      <x:c r="C2" s="7" t="str">
        <x:v>突破由修为、丹药、材料、灵石与试炼共同构成。V0.1准备充分后成功率100%，随机性不摧毁长期投入。</x:v>
      </x:c>
      <x:c r="D2" s="7" t="str">
        <x:v>突破由修为、丹药、材料、灵石与试炼共同构成。V0.1准备充分后成功率100%，随机性不摧毁长期投入。</x:v>
      </x:c>
      <x:c r="E2" s="7" t="str">
        <x:v>突破由修为、丹药、材料、灵石与试炼共同构成。V0.1准备充分后成功率100%，随机性不摧毁长期投入。</x:v>
      </x:c>
      <x:c r="F2" s="7" t="str">
        <x:v>突破由修为、丹药、材料、灵石与试炼共同构成。V0.1准备充分后成功率100%，随机性不摧毁长期投入。</x:v>
      </x:c>
      <x:c r="G2" s="7" t="str">
        <x:v>突破由修为、丹药、材料、灵石与试炼共同构成。V0.1准备充分后成功率100%，随机性不摧毁长期投入。</x:v>
      </x:c>
      <x:c r="H2" s="7" t="str">
        <x:v>突破由修为、丹药、材料、灵石与试炼共同构成。V0.1准备充分后成功率100%，随机性不摧毁长期投入。</x:v>
      </x:c>
      <x:c r="I2" s="7" t="str">
        <x:v>突破由修为、丹药、材料、灵石与试炼共同构成。V0.1准备充分后成功率100%，随机性不摧毁长期投入。</x:v>
      </x:c>
      <x:c r="J2" s="7" t="str">
        <x:v>突破由修为、丹药、材料、灵石与试炼共同构成。V0.1准备充分后成功率100%，随机性不摧毁长期投入。</x:v>
      </x:c>
      <x:c r="K2" s="7" t="str">
        <x:v>突破由修为、丹药、材料、灵石与试炼共同构成。V0.1准备充分后成功率100%，随机性不摧毁长期投入。</x:v>
      </x:c>
      <x:c r="L2" s="7" t="str">
        <x:v>突破由修为、丹药、材料、灵石与试炼共同构成。V0.1准备充分后成功率100%，随机性不摧毁长期投入。</x:v>
      </x:c>
      <x:c r="M2" s="7" t="str">
        <x:v>突破由修为、丹药、材料、灵石与试炼共同构成。V0.1准备充分后成功率100%，随机性不摧毁长期投入。</x:v>
      </x:c>
      <x:c r="N2" s="7" t="str">
        <x:v>突破由修为、丹药、材料、灵石与试炼共同构成。V0.1准备充分后成功率100%，随机性不摧毁长期投入。</x:v>
      </x:c>
      <x:c r="O2" s="7" t="str">
        <x:v>突破由修为、丹药、材料、灵石与试炼共同构成。V0.1准备充分后成功率100%，随机性不摧毁长期投入。</x:v>
      </x:c>
      <x:c r="P2" s="7" t="str">
        <x:v>突破由修为、丹药、材料、灵石与试炼共同构成。V0.1准备充分后成功率100%，随机性不摧毁长期投入。</x:v>
      </x:c>
      <x:c r="Q2" s="7" t="str">
        <x:v>突破由修为、丹药、材料、灵石与试炼共同构成。V0.1准备充分后成功率100%，随机性不摧毁长期投入。</x:v>
      </x:c>
      <x:c r="R2" s="7" t="str">
        <x:v>突破由修为、丹药、材料、灵石与试炼共同构成。V0.1准备充分后成功率100%，随机性不摧毁长期投入。</x:v>
      </x:c>
    </x:row>
    <x:row r="3">
      <x:c r="A3" s="7" t="str">
        <x:v>突破由修为、丹药、材料、灵石与试炼共同构成。V0.1准备充分后成功率100%，随机性不摧毁长期投入。</x:v>
      </x:c>
      <x:c r="B3" s="7" t="str">
        <x:v>突破由修为、丹药、材料、灵石与试炼共同构成。V0.1准备充分后成功率100%，随机性不摧毁长期投入。</x:v>
      </x:c>
      <x:c r="C3" s="7" t="str">
        <x:v>突破由修为、丹药、材料、灵石与试炼共同构成。V0.1准备充分后成功率100%，随机性不摧毁长期投入。</x:v>
      </x:c>
      <x:c r="D3" s="7" t="str">
        <x:v>突破由修为、丹药、材料、灵石与试炼共同构成。V0.1准备充分后成功率100%，随机性不摧毁长期投入。</x:v>
      </x:c>
      <x:c r="E3" s="7" t="str">
        <x:v>突破由修为、丹药、材料、灵石与试炼共同构成。V0.1准备充分后成功率100%，随机性不摧毁长期投入。</x:v>
      </x:c>
      <x:c r="F3" s="7" t="str">
        <x:v>突破由修为、丹药、材料、灵石与试炼共同构成。V0.1准备充分后成功率100%，随机性不摧毁长期投入。</x:v>
      </x:c>
      <x:c r="G3" s="7" t="str">
        <x:v>突破由修为、丹药、材料、灵石与试炼共同构成。V0.1准备充分后成功率100%，随机性不摧毁长期投入。</x:v>
      </x:c>
      <x:c r="H3" s="7" t="str">
        <x:v>突破由修为、丹药、材料、灵石与试炼共同构成。V0.1准备充分后成功率100%，随机性不摧毁长期投入。</x:v>
      </x:c>
      <x:c r="I3" s="7" t="str">
        <x:v>突破由修为、丹药、材料、灵石与试炼共同构成。V0.1准备充分后成功率100%，随机性不摧毁长期投入。</x:v>
      </x:c>
      <x:c r="J3" s="7" t="str">
        <x:v>突破由修为、丹药、材料、灵石与试炼共同构成。V0.1准备充分后成功率100%，随机性不摧毁长期投入。</x:v>
      </x:c>
      <x:c r="K3" s="7" t="str">
        <x:v>突破由修为、丹药、材料、灵石与试炼共同构成。V0.1准备充分后成功率100%，随机性不摧毁长期投入。</x:v>
      </x:c>
      <x:c r="L3" s="7" t="str">
        <x:v>突破由修为、丹药、材料、灵石与试炼共同构成。V0.1准备充分后成功率100%，随机性不摧毁长期投入。</x:v>
      </x:c>
      <x:c r="M3" s="7" t="str">
        <x:v>突破由修为、丹药、材料、灵石与试炼共同构成。V0.1准备充分后成功率100%，随机性不摧毁长期投入。</x:v>
      </x:c>
      <x:c r="N3" s="7" t="str">
        <x:v>突破由修为、丹药、材料、灵石与试炼共同构成。V0.1准备充分后成功率100%，随机性不摧毁长期投入。</x:v>
      </x:c>
      <x:c r="O3" s="7" t="str">
        <x:v>突破由修为、丹药、材料、灵石与试炼共同构成。V0.1准备充分后成功率100%，随机性不摧毁长期投入。</x:v>
      </x:c>
      <x:c r="P3" s="7" t="str">
        <x:v>突破由修为、丹药、材料、灵石与试炼共同构成。V0.1准备充分后成功率100%，随机性不摧毁长期投入。</x:v>
      </x:c>
      <x:c r="Q3" s="7" t="str">
        <x:v>突破由修为、丹药、材料、灵石与试炼共同构成。V0.1准备充分后成功率100%，随机性不摧毁长期投入。</x:v>
      </x:c>
      <x:c r="R3" s="7" t="str">
        <x:v>突破由修为、丹药、材料、灵石与试炼共同构成。V0.1准备充分后成功率100%，随机性不摧毁长期投入。</x:v>
      </x:c>
    </x:row>
    <x:row r="5" ht="28" customHeight="1">
      <x:c r="A5" s="19" t="str">
        <x:v>目标境界</x:v>
      </x:c>
      <x:c r="B5" s="20" t="str">
        <x:v>阶段起点修为</x:v>
      </x:c>
      <x:c r="C5" s="20" t="str">
        <x:v>材料1</x:v>
      </x:c>
      <x:c r="D5" s="20" t="str">
        <x:v>数量1</x:v>
      </x:c>
      <x:c r="E5" s="20" t="str">
        <x:v>材料2</x:v>
      </x:c>
      <x:c r="F5" s="20" t="str">
        <x:v>数量2</x:v>
      </x:c>
      <x:c r="G5" s="20" t="str">
        <x:v>材料3</x:v>
      </x:c>
      <x:c r="H5" s="20" t="str">
        <x:v>数量3</x:v>
      </x:c>
      <x:c r="I5" s="20" t="str">
        <x:v>灵石成本</x:v>
      </x:c>
      <x:c r="J5" s="20" t="str">
        <x:v>试炼分钟</x:v>
      </x:c>
      <x:c r="K5" s="20" t="str">
        <x:v>成功率</x:v>
      </x:c>
      <x:c r="L5" s="20" t="str">
        <x:v>范围</x:v>
      </x:c>
      <x:c r="M5" s="20" t="str">
        <x:v>材料1价值</x:v>
      </x:c>
      <x:c r="N5" s="20" t="str">
        <x:v>材料2价值</x:v>
      </x:c>
      <x:c r="O5" s="20" t="str">
        <x:v>材料3价值</x:v>
      </x:c>
      <x:c r="P5" s="20" t="str">
        <x:v>总经济成本</x:v>
      </x:c>
      <x:c r="Q5" s="20" t="str">
        <x:v>基准修炼天数</x:v>
      </x:c>
      <x:c r="R5" s="21" t="str">
        <x:v>设计奖励</x:v>
      </x:c>
    </x:row>
    <x:row r="6">
      <x:c r="A6" s="29" t="str">
        <x:v>炼气</x:v>
      </x:c>
      <x:c r="B6" s="45" t="n">
        <x:f>INDEX('02_境界时间轴'!$A$6:$A$17,MATCH(A6,'02_境界时间轴'!$C$6:$C$17,0))</x:f>
        <x:v>100</x:v>
      </x:c>
      <x:c r="C6" s="29" t="str">
        <x:v>青灵草</x:v>
      </x:c>
      <x:c r="D6" s="29" t="n">
        <x:v>20</x:v>
      </x:c>
      <x:c r="E6" s="29" t="str">
        <x:v>聚气散</x:v>
      </x:c>
      <x:c r="F6" s="29" t="n">
        <x:v>3</x:v>
      </x:c>
      <x:c r="G6" s="29" t="str"/>
      <x:c r="H6" s="29" t="n">
        <x:v>0</x:v>
      </x:c>
      <x:c r="I6" s="29" t="n">
        <x:v>20</x:v>
      </x:c>
      <x:c r="J6" s="29" t="n">
        <x:v>5</x:v>
      </x:c>
      <x:c r="K6" s="72" t="n">
        <x:v>1</x:v>
      </x:c>
      <x:c r="L6" s="29" t="str">
        <x:v>MVP</x:v>
      </x:c>
      <x:c r="M6" s="45" t="n">
        <x:f>D6*IF(C6="",0,IFERROR(VLOOKUP(C6,'14_市场基准价'!$A$6:$J$80,4,FALSE),0))</x:f>
        <x:v>40</x:v>
      </x:c>
      <x:c r="N6" s="45" t="n">
        <x:f>F6*IF(E6="",0,IFERROR(VLOOKUP(E6,'14_市场基准价'!$A$6:$J$80,4,FALSE),0))</x:f>
        <x:v>24</x:v>
      </x:c>
      <x:c r="O6" s="45" t="n">
        <x:f>H6*IF(G6="",0,IFERROR(VLOOKUP(G6,'14_市场基准价'!$A$6:$J$80,4,FALSE),0))</x:f>
        <x:v>0</x:v>
      </x:c>
      <x:c r="P6" s="45" t="n">
        <x:f>M6+N6+O6+I6</x:f>
        <x:v>84</x:v>
      </x:c>
      <x:c r="Q6" s="58" t="n">
        <x:f>B6/('01_核心假设'!$B$13*'01_核心假设'!$B$7*'01_核心假设'!$B$12*'01_核心假设'!$B$40)</x:f>
        <x:v>0.055114638447971785</x:v>
      </x:c>
      <x:c r="R6" s="29" t="str">
        <x:v>解锁炼丹/坊市/2槽闭关</x:v>
      </x:c>
    </x:row>
    <x:row r="7">
      <x:c r="A7" s="30" t="str">
        <x:v>筑基</x:v>
      </x:c>
      <x:c r="B7" s="46" t="n">
        <x:f>INDEX('02_境界时间轴'!$A$6:$A$17,MATCH(A7,'02_境界时间轴'!$C$6:$C$17,0))</x:f>
        <x:v>24100</x:v>
      </x:c>
      <x:c r="C7" s="30" t="str">
        <x:v>筑基丹</x:v>
      </x:c>
      <x:c r="D7" s="30" t="n">
        <x:v>1</x:v>
      </x:c>
      <x:c r="E7" s="30" t="str">
        <x:v>灵髓</x:v>
      </x:c>
      <x:c r="F7" s="30" t="n">
        <x:v>3</x:v>
      </x:c>
      <x:c r="G7" s="30" t="str">
        <x:v>护脉丹</x:v>
      </x:c>
      <x:c r="H7" s="30" t="n">
        <x:v>2</x:v>
      </x:c>
      <x:c r="I7" s="30" t="n">
        <x:v>2500</x:v>
      </x:c>
      <x:c r="J7" s="30" t="n">
        <x:v>15</x:v>
      </x:c>
      <x:c r="K7" s="32" t="n">
        <x:v>1</x:v>
      </x:c>
      <x:c r="L7" s="30" t="str">
        <x:v>MVP终极</x:v>
      </x:c>
      <x:c r="M7" s="46" t="n">
        <x:f>D7*IF(C7="",0,IFERROR(VLOOKUP(C7,'14_市场基准价'!$A$6:$J$80,4,FALSE),0))</x:f>
        <x:v>680</x:v>
      </x:c>
      <x:c r="N7" s="46" t="n">
        <x:f>F7*IF(E7="",0,IFERROR(VLOOKUP(E7,'14_市场基准价'!$A$6:$J$80,4,FALSE),0))</x:f>
        <x:v>360</x:v>
      </x:c>
      <x:c r="O7" s="46" t="n">
        <x:f>H7*IF(G7="",0,IFERROR(VLOOKUP(G7,'14_市场基准价'!$A$6:$J$80,4,FALSE),0))</x:f>
        <x:v>190</x:v>
      </x:c>
      <x:c r="P7" s="46" t="n">
        <x:f>M7+N7+O7+I7</x:f>
        <x:v>3730</x:v>
      </x:c>
      <x:c r="Q7" s="59" t="n">
        <x:f>B7/('01_核心假设'!$B$13*'01_核心假设'!$B$7*'01_核心假设'!$B$12*'01_核心假设'!$B$40)</x:f>
        <x:v>13.282627865961201</x:v>
      </x:c>
      <x:c r="R7" s="30" t="str">
        <x:v>条件队列/3药力槽/二阶百艺/正式秘境</x:v>
      </x:c>
    </x:row>
    <x:row r="8">
      <x:c r="A8" s="30" t="str">
        <x:v>金丹</x:v>
      </x:c>
      <x:c r="B8" s="46" t="n">
        <x:f>INDEX('02_境界时间轴'!$A$6:$A$17,MATCH(A8,'02_境界时间轴'!$C$6:$C$17,0))</x:f>
        <x:v>180000</x:v>
      </x:c>
      <x:c r="C8" s="30" t="str">
        <x:v>凝元丹</x:v>
      </x:c>
      <x:c r="D8" s="30" t="n">
        <x:v>10</x:v>
      </x:c>
      <x:c r="E8" s="30" t="str">
        <x:v>黑风晶</x:v>
      </x:c>
      <x:c r="F8" s="30" t="n">
        <x:v>20</x:v>
      </x:c>
      <x:c r="G8" s="30" t="str">
        <x:v>灵玉矿</x:v>
      </x:c>
      <x:c r="H8" s="30" t="n">
        <x:v>30</x:v>
      </x:c>
      <x:c r="I8" s="30" t="n">
        <x:v>8000</x:v>
      </x:c>
      <x:c r="J8" s="30" t="n">
        <x:v>25</x:v>
      </x:c>
      <x:c r="K8" s="32" t="n">
        <x:v>1</x:v>
      </x:c>
      <x:c r="L8" s="30" t="str">
        <x:v>扩展锚点</x:v>
      </x:c>
      <x:c r="M8" s="46" t="n">
        <x:f>D8*IF(C8="",0,IFERROR(VLOOKUP(C8,'14_市场基准价'!$A$6:$J$80,4,FALSE),0))</x:f>
        <x:v>1200</x:v>
      </x:c>
      <x:c r="N8" s="46" t="n">
        <x:f>F8*IF(E8="",0,IFERROR(VLOOKUP(E8,'14_市场基准价'!$A$6:$J$80,4,FALSE),0))</x:f>
        <x:v>5200</x:v>
      </x:c>
      <x:c r="O8" s="46" t="n">
        <x:f>H8*IF(G8="",0,IFERROR(VLOOKUP(G8,'14_市场基准价'!$A$6:$J$80,4,FALSE),0))</x:f>
        <x:v>2400</x:v>
      </x:c>
      <x:c r="P8" s="46" t="n">
        <x:f>M8+N8+O8+I8</x:f>
        <x:v>16800</x:v>
      </x:c>
      <x:c r="Q8" s="59" t="n">
        <x:f>B8/('01_核心假设'!$B$13*'01_核心假设'!$B$7*'01_核心假设'!$B$12*'01_核心假设'!$B$40)</x:f>
        <x:v>99.20634920634922</x:v>
      </x:c>
      <x:c r="R8" s="30" t="str">
        <x:v>洞府专精/市场深度</x:v>
      </x:c>
    </x:row>
    <x:row r="9">
      <x:c r="A9" s="30" t="str">
        <x:v>元婴</x:v>
      </x:c>
      <x:c r="B9" s="46" t="n">
        <x:f>INDEX('02_境界时间轴'!$A$6:$A$17,MATCH(A9,'02_境界时间轴'!$C$6:$C$17,0))</x:f>
        <x:v>550000</x:v>
      </x:c>
      <x:c r="C9" s="30" t="str">
        <x:v>妖丹</x:v>
      </x:c>
      <x:c r="D9" s="30" t="n">
        <x:v>100</x:v>
      </x:c>
      <x:c r="E9" s="30" t="str">
        <x:v>黑风晶</x:v>
      </x:c>
      <x:c r="F9" s="30" t="n">
        <x:v>120</x:v>
      </x:c>
      <x:c r="G9" s="30" t="str">
        <x:v>筑基护符</x:v>
      </x:c>
      <x:c r="H9" s="30" t="n">
        <x:v>3</x:v>
      </x:c>
      <x:c r="I9" s="30" t="n">
        <x:v>50000</x:v>
      </x:c>
      <x:c r="J9" s="30" t="n">
        <x:v>35</x:v>
      </x:c>
      <x:c r="K9" s="32" t="n">
        <x:v>1</x:v>
      </x:c>
      <x:c r="L9" s="30" t="str">
        <x:v>扩展锚点</x:v>
      </x:c>
      <x:c r="M9" s="46" t="n">
        <x:f>D9*IF(C9="",0,IFERROR(VLOOKUP(C9,'14_市场基准价'!$A$6:$J$80,4,FALSE),0))</x:f>
        <x:v>9000</x:v>
      </x:c>
      <x:c r="N9" s="46" t="n">
        <x:f>F9*IF(E9="",0,IFERROR(VLOOKUP(E9,'14_市场基准价'!$A$6:$J$80,4,FALSE),0))</x:f>
        <x:v>31200</x:v>
      </x:c>
      <x:c r="O9" s="46" t="n">
        <x:f>H9*IF(G9="",0,IFERROR(VLOOKUP(G9,'14_市场基准价'!$A$6:$J$80,4,FALSE),0))</x:f>
        <x:v>15000</x:v>
      </x:c>
      <x:c r="P9" s="46" t="n">
        <x:f>M9+N9+O9+I9</x:f>
        <x:v>105200</x:v>
      </x:c>
      <x:c r="Q9" s="59" t="n">
        <x:f>B9/('01_核心假设'!$B$13*'01_核心假设'!$B$7*'01_核心假设'!$B$12*'01_核心假设'!$B$40)</x:f>
        <x:v>303.1305114638448</x:v>
      </x:c>
      <x:c r="R9" s="30" t="str">
        <x:v>分身/高级自动化</x:v>
      </x:c>
    </x:row>
    <x:row r="10">
      <x:c r="A10" s="31" t="str">
        <x:v>化神</x:v>
      </x:c>
      <x:c r="B10" s="48" t="n">
        <x:f>INDEX('02_境界时间轴'!$A$6:$A$17,MATCH(A10,'02_境界时间轴'!$C$6:$C$17,0))</x:f>
        <x:v>1300000</x:v>
      </x:c>
      <x:c r="C10" s="31" t="str">
        <x:v>灵髓</x:v>
      </x:c>
      <x:c r="D10" s="31" t="n">
        <x:v>500</x:v>
      </x:c>
      <x:c r="E10" s="31" t="str">
        <x:v>黑风晶</x:v>
      </x:c>
      <x:c r="F10" s="31" t="n">
        <x:v>300</x:v>
      </x:c>
      <x:c r="G10" s="31" t="str">
        <x:v>筑基飞剑</x:v>
      </x:c>
      <x:c r="H10" s="31" t="n">
        <x:v>5</x:v>
      </x:c>
      <x:c r="I10" s="31" t="n">
        <x:v>250000</x:v>
      </x:c>
      <x:c r="J10" s="31" t="n">
        <x:v>45</x:v>
      </x:c>
      <x:c r="K10" s="73" t="n">
        <x:v>1</x:v>
      </x:c>
      <x:c r="L10" s="31" t="str">
        <x:v>扩展锚点</x:v>
      </x:c>
      <x:c r="M10" s="48" t="n">
        <x:f>D10*IF(C10="",0,IFERROR(VLOOKUP(C10,'14_市场基准价'!$A$6:$J$80,4,FALSE),0))</x:f>
        <x:v>60000</x:v>
      </x:c>
      <x:c r="N10" s="48" t="n">
        <x:f>F10*IF(E10="",0,IFERROR(VLOOKUP(E10,'14_市场基准价'!$A$6:$J$80,4,FALSE),0))</x:f>
        <x:v>78000</x:v>
      </x:c>
      <x:c r="O10" s="48" t="n">
        <x:f>H10*IF(G10="",0,IFERROR(VLOOKUP(G10,'14_市场基准价'!$A$6:$J$80,4,FALSE),0))</x:f>
        <x:v>42500</x:v>
      </x:c>
      <x:c r="P10" s="48" t="n">
        <x:f>M10+N10+O10+I10</x:f>
        <x:v>430500</x:v>
      </x:c>
      <x:c r="Q10" s="60" t="n">
        <x:f>B10/('01_核心假设'!$B$13*'01_核心假设'!$B$7*'01_核心假设'!$B$12*'01_核心假设'!$B$40)</x:f>
        <x:v>716.4902998236332</x:v>
      </x:c>
      <x:c r="R10" s="31" t="str">
        <x:v>首版Endgame</x:v>
      </x:c>
    </x:row>
  </x:sheetData>
  <x:mergeCells>
    <x:mergeCell ref="A1:R1"/>
    <x:mergeCell ref="A2:R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0" hidden="0" customWidth="1"/>
    <x:col min="4" max="4" width="12" hidden="0" customWidth="1"/>
    <x:col min="5" max="5" width="13" hidden="0" customWidth="1"/>
    <x:col min="6" max="6" width="9" hidden="0" customWidth="1"/>
    <x:col min="7" max="7" width="13" hidden="0" customWidth="1"/>
    <x:col min="8" max="8" width="9" hidden="0" customWidth="1"/>
    <x:col min="9" max="9" width="11" hidden="0" customWidth="1"/>
    <x:col min="10" max="10" width="14" hidden="0" customWidth="1"/>
    <x:col min="11" max="11" width="11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5" hidden="0" customWidth="1"/>
  </x:cols>
  <x:sheetData>
    <x:row r="1" ht="30" customHeight="1">
      <x:c r="A1" s="3" t="str">
        <x:v>洞府设施：永久成长、成本与回本</x:v>
      </x:c>
      <x:c r="B1" s="3" t="str">
        <x:v>洞府设施：永久成长、成本与回本</x:v>
      </x:c>
      <x:c r="C1" s="3" t="str">
        <x:v>洞府设施：永久成长、成本与回本</x:v>
      </x:c>
      <x:c r="D1" s="3" t="str">
        <x:v>洞府设施：永久成长、成本与回本</x:v>
      </x:c>
      <x:c r="E1" s="3" t="str">
        <x:v>洞府设施：永久成长、成本与回本</x:v>
      </x:c>
      <x:c r="F1" s="3" t="str">
        <x:v>洞府设施：永久成长、成本与回本</x:v>
      </x:c>
      <x:c r="G1" s="3" t="str">
        <x:v>洞府设施：永久成长、成本与回本</x:v>
      </x:c>
      <x:c r="H1" s="3" t="str">
        <x:v>洞府设施：永久成长、成本与回本</x:v>
      </x:c>
      <x:c r="I1" s="3" t="str">
        <x:v>洞府设施：永久成长、成本与回本</x:v>
      </x:c>
      <x:c r="J1" s="3" t="str">
        <x:v>洞府设施：永久成长、成本与回本</x:v>
      </x:c>
      <x:c r="K1" s="3" t="str">
        <x:v>洞府设施：永久成长、成本与回本</x:v>
      </x:c>
      <x:c r="L1" s="3" t="str">
        <x:v>洞府设施：永久成长、成本与回本</x:v>
      </x:c>
      <x:c r="M1" s="3" t="str">
        <x:v>洞府设施：永久成长、成本与回本</x:v>
      </x:c>
      <x:c r="N1" s="3" t="str">
        <x:v>洞府设施：永久成长、成本与回本</x:v>
      </x:c>
      <x:c r="O1" s="3" t="str">
        <x:v>洞府设施：永久成长、成本与回本</x:v>
      </x:c>
      <x:c r="P1" s="3" t="str">
        <x:v>洞府设施：永久成长、成本与回本</x:v>
      </x:c>
    </x:row>
    <x:row r="2">
      <x:c r="A2" s="7" t="str">
        <x:v>MVP只做聚灵室、炼丹房、炼器房，每项4级。洞府是中后期资源黑洞，升级成本随账号产能增长。</x:v>
      </x:c>
      <x:c r="B2" s="7" t="str">
        <x:v>MVP只做聚灵室、炼丹房、炼器房，每项4级。洞府是中后期资源黑洞，升级成本随账号产能增长。</x:v>
      </x:c>
      <x:c r="C2" s="7" t="str">
        <x:v>MVP只做聚灵室、炼丹房、炼器房，每项4级。洞府是中后期资源黑洞，升级成本随账号产能增长。</x:v>
      </x:c>
      <x:c r="D2" s="7" t="str">
        <x:v>MVP只做聚灵室、炼丹房、炼器房，每项4级。洞府是中后期资源黑洞，升级成本随账号产能增长。</x:v>
      </x:c>
      <x:c r="E2" s="7" t="str">
        <x:v>MVP只做聚灵室、炼丹房、炼器房，每项4级。洞府是中后期资源黑洞，升级成本随账号产能增长。</x:v>
      </x:c>
      <x:c r="F2" s="7" t="str">
        <x:v>MVP只做聚灵室、炼丹房、炼器房，每项4级。洞府是中后期资源黑洞，升级成本随账号产能增长。</x:v>
      </x:c>
      <x:c r="G2" s="7" t="str">
        <x:v>MVP只做聚灵室、炼丹房、炼器房，每项4级。洞府是中后期资源黑洞，升级成本随账号产能增长。</x:v>
      </x:c>
      <x:c r="H2" s="7" t="str">
        <x:v>MVP只做聚灵室、炼丹房、炼器房，每项4级。洞府是中后期资源黑洞，升级成本随账号产能增长。</x:v>
      </x:c>
      <x:c r="I2" s="7" t="str">
        <x:v>MVP只做聚灵室、炼丹房、炼器房，每项4级。洞府是中后期资源黑洞，升级成本随账号产能增长。</x:v>
      </x:c>
      <x:c r="J2" s="7" t="str">
        <x:v>MVP只做聚灵室、炼丹房、炼器房，每项4级。洞府是中后期资源黑洞，升级成本随账号产能增长。</x:v>
      </x:c>
      <x:c r="K2" s="7" t="str">
        <x:v>MVP只做聚灵室、炼丹房、炼器房，每项4级。洞府是中后期资源黑洞，升级成本随账号产能增长。</x:v>
      </x:c>
      <x:c r="L2" s="7" t="str">
        <x:v>MVP只做聚灵室、炼丹房、炼器房，每项4级。洞府是中后期资源黑洞，升级成本随账号产能增长。</x:v>
      </x:c>
      <x:c r="M2" s="7" t="str">
        <x:v>MVP只做聚灵室、炼丹房、炼器房，每项4级。洞府是中后期资源黑洞，升级成本随账号产能增长。</x:v>
      </x:c>
      <x:c r="N2" s="7" t="str">
        <x:v>MVP只做聚灵室、炼丹房、炼器房，每项4级。洞府是中后期资源黑洞，升级成本随账号产能增长。</x:v>
      </x:c>
      <x:c r="O2" s="7" t="str">
        <x:v>MVP只做聚灵室、炼丹房、炼器房，每项4级。洞府是中后期资源黑洞，升级成本随账号产能增长。</x:v>
      </x:c>
      <x:c r="P2" s="7" t="str">
        <x:v>MVP只做聚灵室、炼丹房、炼器房，每项4级。洞府是中后期资源黑洞，升级成本随账号产能增长。</x:v>
      </x:c>
    </x:row>
    <x:row r="3">
      <x:c r="A3" s="7" t="str">
        <x:v>MVP只做聚灵室、炼丹房、炼器房，每项4级。洞府是中后期资源黑洞，升级成本随账号产能增长。</x:v>
      </x:c>
      <x:c r="B3" s="7" t="str">
        <x:v>MVP只做聚灵室、炼丹房、炼器房，每项4级。洞府是中后期资源黑洞，升级成本随账号产能增长。</x:v>
      </x:c>
      <x:c r="C3" s="7" t="str">
        <x:v>MVP只做聚灵室、炼丹房、炼器房，每项4级。洞府是中后期资源黑洞，升级成本随账号产能增长。</x:v>
      </x:c>
      <x:c r="D3" s="7" t="str">
        <x:v>MVP只做聚灵室、炼丹房、炼器房，每项4级。洞府是中后期资源黑洞，升级成本随账号产能增长。</x:v>
      </x:c>
      <x:c r="E3" s="7" t="str">
        <x:v>MVP只做聚灵室、炼丹房、炼器房，每项4级。洞府是中后期资源黑洞，升级成本随账号产能增长。</x:v>
      </x:c>
      <x:c r="F3" s="7" t="str">
        <x:v>MVP只做聚灵室、炼丹房、炼器房，每项4级。洞府是中后期资源黑洞，升级成本随账号产能增长。</x:v>
      </x:c>
      <x:c r="G3" s="7" t="str">
        <x:v>MVP只做聚灵室、炼丹房、炼器房，每项4级。洞府是中后期资源黑洞，升级成本随账号产能增长。</x:v>
      </x:c>
      <x:c r="H3" s="7" t="str">
        <x:v>MVP只做聚灵室、炼丹房、炼器房，每项4级。洞府是中后期资源黑洞，升级成本随账号产能增长。</x:v>
      </x:c>
      <x:c r="I3" s="7" t="str">
        <x:v>MVP只做聚灵室、炼丹房、炼器房，每项4级。洞府是中后期资源黑洞，升级成本随账号产能增长。</x:v>
      </x:c>
      <x:c r="J3" s="7" t="str">
        <x:v>MVP只做聚灵室、炼丹房、炼器房，每项4级。洞府是中后期资源黑洞，升级成本随账号产能增长。</x:v>
      </x:c>
      <x:c r="K3" s="7" t="str">
        <x:v>MVP只做聚灵室、炼丹房、炼器房，每项4级。洞府是中后期资源黑洞，升级成本随账号产能增长。</x:v>
      </x:c>
      <x:c r="L3" s="7" t="str">
        <x:v>MVP只做聚灵室、炼丹房、炼器房，每项4级。洞府是中后期资源黑洞，升级成本随账号产能增长。</x:v>
      </x:c>
      <x:c r="M3" s="7" t="str">
        <x:v>MVP只做聚灵室、炼丹房、炼器房，每项4级。洞府是中后期资源黑洞，升级成本随账号产能增长。</x:v>
      </x:c>
      <x:c r="N3" s="7" t="str">
        <x:v>MVP只做聚灵室、炼丹房、炼器房，每项4级。洞府是中后期资源黑洞，升级成本随账号产能增长。</x:v>
      </x:c>
      <x:c r="O3" s="7" t="str">
        <x:v>MVP只做聚灵室、炼丹房、炼器房，每项4级。洞府是中后期资源黑洞，升级成本随账号产能增长。</x:v>
      </x:c>
      <x:c r="P3" s="7" t="str">
        <x:v>MVP只做聚灵室、炼丹房、炼器房，每项4级。洞府是中后期资源黑洞，升级成本随账号产能增长。</x:v>
      </x:c>
    </x:row>
    <x:row r="5" ht="28" customHeight="1">
      <x:c r="A5" s="19" t="str">
        <x:v>设施</x:v>
      </x:c>
      <x:c r="B5" s="20" t="str">
        <x:v>等级</x:v>
      </x:c>
      <x:c r="C5" s="20" t="str">
        <x:v>境界</x:v>
      </x:c>
      <x:c r="D5" s="20" t="str">
        <x:v>灵石</x:v>
      </x:c>
      <x:c r="E5" s="20" t="str">
        <x:v>材料1</x:v>
      </x:c>
      <x:c r="F5" s="20" t="str">
        <x:v>数量1</x:v>
      </x:c>
      <x:c r="G5" s="20" t="str">
        <x:v>材料2</x:v>
      </x:c>
      <x:c r="H5" s="20" t="str">
        <x:v>数量2</x:v>
      </x:c>
      <x:c r="I5" s="20" t="str">
        <x:v>建造小时</x:v>
      </x:c>
      <x:c r="J5" s="20" t="str">
        <x:v>效果类型</x:v>
      </x:c>
      <x:c r="K5" s="20" t="str">
        <x:v>本级加成</x:v>
      </x:c>
      <x:c r="L5" s="20" t="str">
        <x:v>范围</x:v>
      </x:c>
      <x:c r="M5" s="20" t="str">
        <x:v>材料成本</x:v>
      </x:c>
      <x:c r="N5" s="20" t="str">
        <x:v>本级总成本</x:v>
      </x:c>
      <x:c r="O5" s="20" t="str">
        <x:v>累计成本</x:v>
      </x:c>
      <x:c r="P5" s="21" t="str">
        <x:v>估算回本小时</x:v>
      </x:c>
    </x:row>
    <x:row r="6">
      <x:c r="A6" s="29" t="str">
        <x:v>聚灵室</x:v>
      </x:c>
      <x:c r="B6" s="29" t="n">
        <x:v>1</x:v>
      </x:c>
      <x:c r="C6" s="29" t="str">
        <x:v>炼气</x:v>
      </x:c>
      <x:c r="D6" s="29" t="n">
        <x:v>200</x:v>
      </x:c>
      <x:c r="E6" s="29" t="str">
        <x:v>青竹</x:v>
      </x:c>
      <x:c r="F6" s="29" t="n">
        <x:v>30</x:v>
      </x:c>
      <x:c r="G6" s="29" t="str">
        <x:v>灵髓</x:v>
      </x:c>
      <x:c r="H6" s="29" t="n">
        <x:v>0</x:v>
      </x:c>
      <x:c r="I6" s="29" t="n">
        <x:v>2</x:v>
      </x:c>
      <x:c r="J6" s="29" t="str">
        <x:v>修为效率</x:v>
      </x:c>
      <x:c r="K6" s="70" t="n">
        <x:v>0.03</x:v>
      </x:c>
      <x:c r="L6" s="29" t="str">
        <x:v>MVP</x:v>
      </x:c>
      <x:c r="M6" s="45" t="n">
        <x:f>F6*IF(E6="",0,IFERROR(VLOOKUP(E6,'14_市场基准价'!$A$6:$J$80,4,FALSE),0))+H6*IF(G6="",0,IFERROR(VLOOKUP(G6,'14_市场基准价'!$A$6:$J$80,4,FALSE),0))</x:f>
        <x:v>60</x:v>
      </x:c>
      <x:c r="N6" s="45" t="n">
        <x:f>D6+M6</x:f>
        <x:v>260</x:v>
      </x:c>
      <x:c r="O6" s="45" t="n">
        <x:f>0+N6</x:f>
        <x:v>260</x:v>
      </x:c>
      <x:c r="P6" s="39" t="n">
        <x:f>N6/('01_核心假设'!$B$14*K6)</x:f>
        <x:v>86.66666666666667</x:v>
      </x:c>
    </x:row>
    <x:row r="7">
      <x:c r="A7" s="30" t="str">
        <x:v>聚灵室</x:v>
      </x:c>
      <x:c r="B7" s="30" t="n">
        <x:v>2</x:v>
      </x:c>
      <x:c r="C7" s="30" t="str">
        <x:v>炼气</x:v>
      </x:c>
      <x:c r="D7" s="30" t="n">
        <x:v>700</x:v>
      </x:c>
      <x:c r="E7" s="30" t="str">
        <x:v>青竹</x:v>
      </x:c>
      <x:c r="F7" s="30" t="n">
        <x:v>80</x:v>
      </x:c>
      <x:c r="G7" s="30" t="str">
        <x:v>灵髓</x:v>
      </x:c>
      <x:c r="H7" s="30" t="n">
        <x:v>1</x:v>
      </x:c>
      <x:c r="I7" s="30" t="n">
        <x:v>4</x:v>
      </x:c>
      <x:c r="J7" s="30" t="str">
        <x:v>修为效率</x:v>
      </x:c>
      <x:c r="K7" s="33" t="n">
        <x:v>0.04</x:v>
      </x:c>
      <x:c r="L7" s="30" t="str">
        <x:v>MVP</x:v>
      </x:c>
      <x:c r="M7" s="46" t="n">
        <x:f>F7*IF(E7="",0,IFERROR(VLOOKUP(E7,'14_市场基准价'!$A$6:$J$80,4,FALSE),0))+H7*IF(G7="",0,IFERROR(VLOOKUP(G7,'14_市场基准价'!$A$6:$J$80,4,FALSE),0))</x:f>
        <x:v>280</x:v>
      </x:c>
      <x:c r="N7" s="46" t="n">
        <x:f>D7+M7</x:f>
        <x:v>980</x:v>
      </x:c>
      <x:c r="O7" s="46" t="n">
        <x:f>O6+N7</x:f>
        <x:v>1240</x:v>
      </x:c>
      <x:c r="P7" s="41" t="n">
        <x:f>N7/('01_核心假设'!$B$14*K7)</x:f>
        <x:v>245</x:v>
      </x:c>
    </x:row>
    <x:row r="8">
      <x:c r="A8" s="30" t="str">
        <x:v>聚灵室</x:v>
      </x:c>
      <x:c r="B8" s="30" t="n">
        <x:v>3</x:v>
      </x:c>
      <x:c r="C8" s="30" t="str">
        <x:v>筑基</x:v>
      </x:c>
      <x:c r="D8" s="30" t="n">
        <x:v>2200</x:v>
      </x:c>
      <x:c r="E8" s="30" t="str">
        <x:v>青竹</x:v>
      </x:c>
      <x:c r="F8" s="30" t="n">
        <x:v>180</x:v>
      </x:c>
      <x:c r="G8" s="30" t="str">
        <x:v>灵髓</x:v>
      </x:c>
      <x:c r="H8" s="30" t="n">
        <x:v>3</x:v>
      </x:c>
      <x:c r="I8" s="30" t="n">
        <x:v>6</x:v>
      </x:c>
      <x:c r="J8" s="30" t="str">
        <x:v>修为效率</x:v>
      </x:c>
      <x:c r="K8" s="33" t="n">
        <x:v>0.05</x:v>
      </x:c>
      <x:c r="L8" s="30" t="str">
        <x:v>MVP</x:v>
      </x:c>
      <x:c r="M8" s="46" t="n">
        <x:f>F8*IF(E8="",0,IFERROR(VLOOKUP(E8,'14_市场基准价'!$A$6:$J$80,4,FALSE),0))+H8*IF(G8="",0,IFERROR(VLOOKUP(G8,'14_市场基准价'!$A$6:$J$80,4,FALSE),0))</x:f>
        <x:v>720</x:v>
      </x:c>
      <x:c r="N8" s="46" t="n">
        <x:f>D8+M8</x:f>
        <x:v>2920</x:v>
      </x:c>
      <x:c r="O8" s="46" t="n">
        <x:f>O7+N8</x:f>
        <x:v>4160</x:v>
      </x:c>
      <x:c r="P8" s="41" t="n">
        <x:f>N8/('01_核心假设'!$B$14*K8)</x:f>
        <x:v>584</x:v>
      </x:c>
    </x:row>
    <x:row r="9">
      <x:c r="A9" s="30" t="str">
        <x:v>聚灵室</x:v>
      </x:c>
      <x:c r="B9" s="30" t="n">
        <x:v>4</x:v>
      </x:c>
      <x:c r="C9" s="30" t="str">
        <x:v>筑基</x:v>
      </x:c>
      <x:c r="D9" s="30" t="n">
        <x:v>6500</x:v>
      </x:c>
      <x:c r="E9" s="30" t="str">
        <x:v>青竹</x:v>
      </x:c>
      <x:c r="F9" s="30" t="n">
        <x:v>400</x:v>
      </x:c>
      <x:c r="G9" s="30" t="str">
        <x:v>灵髓</x:v>
      </x:c>
      <x:c r="H9" s="30" t="n">
        <x:v>8</x:v>
      </x:c>
      <x:c r="I9" s="30" t="n">
        <x:v>8</x:v>
      </x:c>
      <x:c r="J9" s="30" t="str">
        <x:v>修为效率</x:v>
      </x:c>
      <x:c r="K9" s="33" t="n">
        <x:v>0.06</x:v>
      </x:c>
      <x:c r="L9" s="30" t="str">
        <x:v>MVP Endgame</x:v>
      </x:c>
      <x:c r="M9" s="46" t="n">
        <x:f>F9*IF(E9="",0,IFERROR(VLOOKUP(E9,'14_市场基准价'!$A$6:$J$80,4,FALSE),0))+H9*IF(G9="",0,IFERROR(VLOOKUP(G9,'14_市场基准价'!$A$6:$J$80,4,FALSE),0))</x:f>
        <x:v>1760</x:v>
      </x:c>
      <x:c r="N9" s="46" t="n">
        <x:f>D9+M9</x:f>
        <x:v>8260</x:v>
      </x:c>
      <x:c r="O9" s="46" t="n">
        <x:f>O8+N9</x:f>
        <x:v>12420</x:v>
      </x:c>
      <x:c r="P9" s="41" t="n">
        <x:f>N9/('01_核心假设'!$B$14*K9)</x:f>
        <x:v>1376.6666666666667</x:v>
      </x:c>
    </x:row>
    <x:row r="10">
      <x:c r="A10" s="30" t="str">
        <x:v>炼丹房</x:v>
      </x:c>
      <x:c r="B10" s="30" t="n">
        <x:v>1</x:v>
      </x:c>
      <x:c r="C10" s="30" t="str">
        <x:v>炼气</x:v>
      </x:c>
      <x:c r="D10" s="30" t="n">
        <x:v>250</x:v>
      </x:c>
      <x:c r="E10" s="30" t="str">
        <x:v>青竹</x:v>
      </x:c>
      <x:c r="F10" s="30" t="n">
        <x:v>40</x:v>
      </x:c>
      <x:c r="G10" s="30" t="str">
        <x:v>赤铜矿</x:v>
      </x:c>
      <x:c r="H10" s="30" t="n">
        <x:v>20</x:v>
      </x:c>
      <x:c r="I10" s="30" t="n">
        <x:v>2</x:v>
      </x:c>
      <x:c r="J10" s="30" t="str">
        <x:v>炼丹效率</x:v>
      </x:c>
      <x:c r="K10" s="33" t="n">
        <x:v>0.04</x:v>
      </x:c>
      <x:c r="L10" s="30" t="str">
        <x:v>MVP</x:v>
      </x:c>
      <x:c r="M10" s="46" t="n">
        <x:f>F10*IF(E10="",0,IFERROR(VLOOKUP(E10,'14_市场基准价'!$A$6:$J$80,4,FALSE),0))+H10*IF(G10="",0,IFERROR(VLOOKUP(G10,'14_市场基准价'!$A$6:$J$80,4,FALSE),0))</x:f>
        <x:v>140</x:v>
      </x:c>
      <x:c r="N10" s="46" t="n">
        <x:f>D10+M10</x:f>
        <x:v>390</x:v>
      </x:c>
      <x:c r="O10" s="46" t="n">
        <x:f>0+N10</x:f>
        <x:v>390</x:v>
      </x:c>
      <x:c r="P10" s="41" t="n">
        <x:f>N10/('01_核心假设'!$B$14*K10)</x:f>
        <x:v>97.5</x:v>
      </x:c>
    </x:row>
    <x:row r="11">
      <x:c r="A11" s="30" t="str">
        <x:v>炼丹房</x:v>
      </x:c>
      <x:c r="B11" s="30" t="n">
        <x:v>2</x:v>
      </x:c>
      <x:c r="C11" s="30" t="str">
        <x:v>炼气</x:v>
      </x:c>
      <x:c r="D11" s="30" t="n">
        <x:v>800</x:v>
      </x:c>
      <x:c r="E11" s="30" t="str">
        <x:v>青竹</x:v>
      </x:c>
      <x:c r="F11" s="30" t="n">
        <x:v>100</x:v>
      </x:c>
      <x:c r="G11" s="30" t="str">
        <x:v>赤铜矿</x:v>
      </x:c>
      <x:c r="H11" s="30" t="n">
        <x:v>60</x:v>
      </x:c>
      <x:c r="I11" s="30" t="n">
        <x:v>4</x:v>
      </x:c>
      <x:c r="J11" s="30" t="str">
        <x:v>炼丹效率</x:v>
      </x:c>
      <x:c r="K11" s="33" t="n">
        <x:v>0.05</x:v>
      </x:c>
      <x:c r="L11" s="30" t="str">
        <x:v>MVP</x:v>
      </x:c>
      <x:c r="M11" s="46" t="n">
        <x:f>F11*IF(E11="",0,IFERROR(VLOOKUP(E11,'14_市场基准价'!$A$6:$J$80,4,FALSE),0))+H11*IF(G11="",0,IFERROR(VLOOKUP(G11,'14_市场基准价'!$A$6:$J$80,4,FALSE),0))</x:f>
        <x:v>380</x:v>
      </x:c>
      <x:c r="N11" s="46" t="n">
        <x:f>D11+M11</x:f>
        <x:v>1180</x:v>
      </x:c>
      <x:c r="O11" s="46" t="n">
        <x:f>O10+N11</x:f>
        <x:v>1570</x:v>
      </x:c>
      <x:c r="P11" s="41" t="n">
        <x:f>N11/('01_核心假设'!$B$14*K11)</x:f>
        <x:v>236</x:v>
      </x:c>
    </x:row>
    <x:row r="12">
      <x:c r="A12" s="30" t="str">
        <x:v>炼丹房</x:v>
      </x:c>
      <x:c r="B12" s="30" t="n">
        <x:v>3</x:v>
      </x:c>
      <x:c r="C12" s="30" t="str">
        <x:v>筑基</x:v>
      </x:c>
      <x:c r="D12" s="30" t="n">
        <x:v>2500</x:v>
      </x:c>
      <x:c r="E12" s="30" t="str">
        <x:v>青竹</x:v>
      </x:c>
      <x:c r="F12" s="30" t="n">
        <x:v>220</x:v>
      </x:c>
      <x:c r="G12" s="30" t="str">
        <x:v>赤铜矿</x:v>
      </x:c>
      <x:c r="H12" s="30" t="n">
        <x:v>150</x:v>
      </x:c>
      <x:c r="I12" s="30" t="n">
        <x:v>6</x:v>
      </x:c>
      <x:c r="J12" s="30" t="str">
        <x:v>炼丹效率</x:v>
      </x:c>
      <x:c r="K12" s="33" t="n">
        <x:v>0.06</x:v>
      </x:c>
      <x:c r="L12" s="30" t="str">
        <x:v>MVP</x:v>
      </x:c>
      <x:c r="M12" s="46" t="n">
        <x:f>F12*IF(E12="",0,IFERROR(VLOOKUP(E12,'14_市场基准价'!$A$6:$J$80,4,FALSE),0))+H12*IF(G12="",0,IFERROR(VLOOKUP(G12,'14_市场基准价'!$A$6:$J$80,4,FALSE),0))</x:f>
        <x:v>890</x:v>
      </x:c>
      <x:c r="N12" s="46" t="n">
        <x:f>D12+M12</x:f>
        <x:v>3390</x:v>
      </x:c>
      <x:c r="O12" s="46" t="n">
        <x:f>O11+N12</x:f>
        <x:v>4960</x:v>
      </x:c>
      <x:c r="P12" s="41" t="n">
        <x:f>N12/('01_核心假设'!$B$14*K12)</x:f>
        <x:v>565</x:v>
      </x:c>
    </x:row>
    <x:row r="13">
      <x:c r="A13" s="30" t="str">
        <x:v>炼丹房</x:v>
      </x:c>
      <x:c r="B13" s="30" t="n">
        <x:v>4</x:v>
      </x:c>
      <x:c r="C13" s="30" t="str">
        <x:v>筑基</x:v>
      </x:c>
      <x:c r="D13" s="30" t="n">
        <x:v>7200</x:v>
      </x:c>
      <x:c r="E13" s="30" t="str">
        <x:v>青竹</x:v>
      </x:c>
      <x:c r="F13" s="30" t="n">
        <x:v>500</x:v>
      </x:c>
      <x:c r="G13" s="30" t="str">
        <x:v>赤铜矿</x:v>
      </x:c>
      <x:c r="H13" s="30" t="n">
        <x:v>350</x:v>
      </x:c>
      <x:c r="I13" s="30" t="n">
        <x:v>8</x:v>
      </x:c>
      <x:c r="J13" s="30" t="str">
        <x:v>炼丹效率</x:v>
      </x:c>
      <x:c r="K13" s="33" t="n">
        <x:v>0.07</x:v>
      </x:c>
      <x:c r="L13" s="30" t="str">
        <x:v>MVP Endgame</x:v>
      </x:c>
      <x:c r="M13" s="46" t="n">
        <x:f>F13*IF(E13="",0,IFERROR(VLOOKUP(E13,'14_市场基准价'!$A$6:$J$80,4,FALSE),0))+H13*IF(G13="",0,IFERROR(VLOOKUP(G13,'14_市场基准价'!$A$6:$J$80,4,FALSE),0))</x:f>
        <x:v>2050</x:v>
      </x:c>
      <x:c r="N13" s="46" t="n">
        <x:f>D13+M13</x:f>
        <x:v>9250</x:v>
      </x:c>
      <x:c r="O13" s="46" t="n">
        <x:f>O12+N13</x:f>
        <x:v>14210</x:v>
      </x:c>
      <x:c r="P13" s="41" t="n">
        <x:f>N13/('01_核心假设'!$B$14*K13)</x:f>
        <x:v>1321.4285714285713</x:v>
      </x:c>
    </x:row>
    <x:row r="14">
      <x:c r="A14" s="30" t="str">
        <x:v>炼器房</x:v>
      </x:c>
      <x:c r="B14" s="30" t="n">
        <x:v>1</x:v>
      </x:c>
      <x:c r="C14" s="30" t="str">
        <x:v>炼气</x:v>
      </x:c>
      <x:c r="D14" s="30" t="n">
        <x:v>300</x:v>
      </x:c>
      <x:c r="E14" s="30" t="str">
        <x:v>铁木</x:v>
      </x:c>
      <x:c r="F14" s="30" t="n">
        <x:v>20</x:v>
      </x:c>
      <x:c r="G14" s="30" t="str">
        <x:v>玄铁矿</x:v>
      </x:c>
      <x:c r="H14" s="30" t="n">
        <x:v>15</x:v>
      </x:c>
      <x:c r="I14" s="30" t="n">
        <x:v>2</x:v>
      </x:c>
      <x:c r="J14" s="30" t="str">
        <x:v>炼器效率</x:v>
      </x:c>
      <x:c r="K14" s="33" t="n">
        <x:v>0.04</x:v>
      </x:c>
      <x:c r="L14" s="30" t="str">
        <x:v>MVP</x:v>
      </x:c>
      <x:c r="M14" s="46" t="n">
        <x:f>F14*IF(E14="",0,IFERROR(VLOOKUP(E14,'14_市场基准价'!$A$6:$J$80,4,FALSE),0))+H14*IF(G14="",0,IFERROR(VLOOKUP(G14,'14_市场基准价'!$A$6:$J$80,4,FALSE),0))</x:f>
        <x:v>380</x:v>
      </x:c>
      <x:c r="N14" s="46" t="n">
        <x:f>D14+M14</x:f>
        <x:v>680</x:v>
      </x:c>
      <x:c r="O14" s="46" t="n">
        <x:f>0+N14</x:f>
        <x:v>680</x:v>
      </x:c>
      <x:c r="P14" s="41" t="n">
        <x:f>N14/('01_核心假设'!$B$14*K14)</x:f>
        <x:v>170</x:v>
      </x:c>
    </x:row>
    <x:row r="15">
      <x:c r="A15" s="30" t="str">
        <x:v>炼器房</x:v>
      </x:c>
      <x:c r="B15" s="30" t="n">
        <x:v>2</x:v>
      </x:c>
      <x:c r="C15" s="30" t="str">
        <x:v>炼气</x:v>
      </x:c>
      <x:c r="D15" s="30" t="n">
        <x:v>900</x:v>
      </x:c>
      <x:c r="E15" s="30" t="str">
        <x:v>铁木</x:v>
      </x:c>
      <x:c r="F15" s="30" t="n">
        <x:v>55</x:v>
      </x:c>
      <x:c r="G15" s="30" t="str">
        <x:v>玄铁矿</x:v>
      </x:c>
      <x:c r="H15" s="30" t="n">
        <x:v>50</x:v>
      </x:c>
      <x:c r="I15" s="30" t="n">
        <x:v>4</x:v>
      </x:c>
      <x:c r="J15" s="30" t="str">
        <x:v>炼器效率</x:v>
      </x:c>
      <x:c r="K15" s="33" t="n">
        <x:v>0.05</x:v>
      </x:c>
      <x:c r="L15" s="30" t="str">
        <x:v>MVP</x:v>
      </x:c>
      <x:c r="M15" s="46" t="n">
        <x:f>F15*IF(E15="",0,IFERROR(VLOOKUP(E15,'14_市场基准价'!$A$6:$J$80,4,FALSE),0))+H15*IF(G15="",0,IFERROR(VLOOKUP(G15,'14_市场基准价'!$A$6:$J$80,4,FALSE),0))</x:f>
        <x:v>1150</x:v>
      </x:c>
      <x:c r="N15" s="46" t="n">
        <x:f>D15+M15</x:f>
        <x:v>2050</x:v>
      </x:c>
      <x:c r="O15" s="46" t="n">
        <x:f>O14+N15</x:f>
        <x:v>2730</x:v>
      </x:c>
      <x:c r="P15" s="41" t="n">
        <x:f>N15/('01_核心假设'!$B$14*K15)</x:f>
        <x:v>410</x:v>
      </x:c>
    </x:row>
    <x:row r="16">
      <x:c r="A16" s="30" t="str">
        <x:v>炼器房</x:v>
      </x:c>
      <x:c r="B16" s="30" t="n">
        <x:v>3</x:v>
      </x:c>
      <x:c r="C16" s="30" t="str">
        <x:v>筑基</x:v>
      </x:c>
      <x:c r="D16" s="30" t="n">
        <x:v>2800</x:v>
      </x:c>
      <x:c r="E16" s="30" t="str">
        <x:v>铁木</x:v>
      </x:c>
      <x:c r="F16" s="30" t="n">
        <x:v>130</x:v>
      </x:c>
      <x:c r="G16" s="30" t="str">
        <x:v>玄铁矿</x:v>
      </x:c>
      <x:c r="H16" s="30" t="n">
        <x:v>140</x:v>
      </x:c>
      <x:c r="I16" s="30" t="n">
        <x:v>6</x:v>
      </x:c>
      <x:c r="J16" s="30" t="str">
        <x:v>炼器效率</x:v>
      </x:c>
      <x:c r="K16" s="33" t="n">
        <x:v>0.06</x:v>
      </x:c>
      <x:c r="L16" s="30" t="str">
        <x:v>MVP</x:v>
      </x:c>
      <x:c r="M16" s="46" t="n">
        <x:f>F16*IF(E16="",0,IFERROR(VLOOKUP(E16,'14_市场基准价'!$A$6:$J$80,4,FALSE),0))+H16*IF(G16="",0,IFERROR(VLOOKUP(G16,'14_市场基准价'!$A$6:$J$80,4,FALSE),0))</x:f>
        <x:v>2980</x:v>
      </x:c>
      <x:c r="N16" s="46" t="n">
        <x:f>D16+M16</x:f>
        <x:v>5780</x:v>
      </x:c>
      <x:c r="O16" s="46" t="n">
        <x:f>O15+N16</x:f>
        <x:v>8510</x:v>
      </x:c>
      <x:c r="P16" s="41" t="n">
        <x:f>N16/('01_核心假设'!$B$14*K16)</x:f>
        <x:v>963.3333333333334</x:v>
      </x:c>
    </x:row>
    <x:row r="17">
      <x:c r="A17" s="31" t="str">
        <x:v>炼器房</x:v>
      </x:c>
      <x:c r="B17" s="31" t="n">
        <x:v>4</x:v>
      </x:c>
      <x:c r="C17" s="31" t="str">
        <x:v>筑基</x:v>
      </x:c>
      <x:c r="D17" s="31" t="n">
        <x:v>7800</x:v>
      </x:c>
      <x:c r="E17" s="31" t="str">
        <x:v>铁木</x:v>
      </x:c>
      <x:c r="F17" s="31" t="n">
        <x:v>300</x:v>
      </x:c>
      <x:c r="G17" s="31" t="str">
        <x:v>玄铁矿</x:v>
      </x:c>
      <x:c r="H17" s="31" t="n">
        <x:v>360</x:v>
      </x:c>
      <x:c r="I17" s="31" t="n">
        <x:v>8</x:v>
      </x:c>
      <x:c r="J17" s="31" t="str">
        <x:v>炼器效率</x:v>
      </x:c>
      <x:c r="K17" s="71" t="n">
        <x:v>0.07</x:v>
      </x:c>
      <x:c r="L17" s="31" t="str">
        <x:v>MVP Endgame</x:v>
      </x:c>
      <x:c r="M17" s="48" t="n">
        <x:f>F17*IF(E17="",0,IFERROR(VLOOKUP(E17,'14_市场基准价'!$A$6:$J$80,4,FALSE),0))+H17*IF(G17="",0,IFERROR(VLOOKUP(G17,'14_市场基准价'!$A$6:$J$80,4,FALSE),0))</x:f>
        <x:v>7320</x:v>
      </x:c>
      <x:c r="N17" s="48" t="n">
        <x:f>D17+M17</x:f>
        <x:v>15120</x:v>
      </x:c>
      <x:c r="O17" s="48" t="n">
        <x:f>O16+N17</x:f>
        <x:v>23630</x:v>
      </x:c>
      <x:c r="P17" s="43" t="n">
        <x:f>N17/('01_核心假设'!$B$14*K17)</x:f>
        <x:v>2159.9999999999995</x:v>
      </x:c>
    </x:row>
  </x:sheetData>
  <x:mergeCells>
    <x:mergeCell ref="A1:P1"/>
    <x:mergeCell ref="A2:P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2" hidden="0" customWidth="1"/>
    <x:col min="5" max="5" width="11" hidden="0" customWidth="1"/>
    <x:col min="6" max="6" width="17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3" hidden="0" customWidth="1"/>
    <x:col min="12" max="12" width="17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3" t="str">
        <x:v>淬炼成功率、期望尝试与资源回收</x:v>
      </x:c>
      <x:c r="B1" s="3" t="str">
        <x:v>淬炼成功率、期望尝试与资源回收</x:v>
      </x:c>
      <x:c r="C1" s="3" t="str">
        <x:v>淬炼成功率、期望尝试与资源回收</x:v>
      </x:c>
      <x:c r="D1" s="3" t="str">
        <x:v>淬炼成功率、期望尝试与资源回收</x:v>
      </x:c>
      <x:c r="E1" s="3" t="str">
        <x:v>淬炼成功率、期望尝试与资源回收</x:v>
      </x:c>
      <x:c r="F1" s="3" t="str">
        <x:v>淬炼成功率、期望尝试与资源回收</x:v>
      </x:c>
      <x:c r="G1" s="3" t="str">
        <x:v>淬炼成功率、期望尝试与资源回收</x:v>
      </x:c>
      <x:c r="H1" s="3" t="str">
        <x:v>淬炼成功率、期望尝试与资源回收</x:v>
      </x:c>
      <x:c r="I1" s="3" t="str">
        <x:v>淬炼成功率、期望尝试与资源回收</x:v>
      </x:c>
      <x:c r="J1" s="3" t="str">
        <x:v>淬炼成功率、期望尝试与资源回收</x:v>
      </x:c>
      <x:c r="K1" s="3" t="str">
        <x:v>淬炼成功率、期望尝试与资源回收</x:v>
      </x:c>
      <x:c r="L1" s="3" t="str">
        <x:v>淬炼成功率、期望尝试与资源回收</x:v>
      </x:c>
      <x:c r="M1" s="3" t="str">
        <x:v>淬炼成功率、期望尝试与资源回收</x:v>
      </x:c>
      <x:c r="N1" s="3" t="str">
        <x:v>淬炼成功率、期望尝试与资源回收</x:v>
      </x:c>
      <x:c r="O1" s="3" t="str">
        <x:v>淬炼成功率、期望尝试与资源回收</x:v>
      </x:c>
    </x:row>
    <x:row r="2">
      <x:c r="A2" s="7" t="str">
        <x:v>失败只损失当次材料，不降级、不损坏装备。期望成本由成功率计算；+7以后为扩展锚点。</x:v>
      </x:c>
      <x:c r="B2" s="7" t="str">
        <x:v>失败只损失当次材料，不降级、不损坏装备。期望成本由成功率计算；+7以后为扩展锚点。</x:v>
      </x:c>
      <x:c r="C2" s="7" t="str">
        <x:v>失败只损失当次材料，不降级、不损坏装备。期望成本由成功率计算；+7以后为扩展锚点。</x:v>
      </x:c>
      <x:c r="D2" s="7" t="str">
        <x:v>失败只损失当次材料，不降级、不损坏装备。期望成本由成功率计算；+7以后为扩展锚点。</x:v>
      </x:c>
      <x:c r="E2" s="7" t="str">
        <x:v>失败只损失当次材料，不降级、不损坏装备。期望成本由成功率计算；+7以后为扩展锚点。</x:v>
      </x:c>
      <x:c r="F2" s="7" t="str">
        <x:v>失败只损失当次材料，不降级、不损坏装备。期望成本由成功率计算；+7以后为扩展锚点。</x:v>
      </x:c>
      <x:c r="G2" s="7" t="str">
        <x:v>失败只损失当次材料，不降级、不损坏装备。期望成本由成功率计算；+7以后为扩展锚点。</x:v>
      </x:c>
      <x:c r="H2" s="7" t="str">
        <x:v>失败只损失当次材料，不降级、不损坏装备。期望成本由成功率计算；+7以后为扩展锚点。</x:v>
      </x:c>
      <x:c r="I2" s="7" t="str">
        <x:v>失败只损失当次材料，不降级、不损坏装备。期望成本由成功率计算；+7以后为扩展锚点。</x:v>
      </x:c>
      <x:c r="J2" s="7" t="str">
        <x:v>失败只损失当次材料，不降级、不损坏装备。期望成本由成功率计算；+7以后为扩展锚点。</x:v>
      </x:c>
      <x:c r="K2" s="7" t="str">
        <x:v>失败只损失当次材料，不降级、不损坏装备。期望成本由成功率计算；+7以后为扩展锚点。</x:v>
      </x:c>
      <x:c r="L2" s="7" t="str">
        <x:v>失败只损失当次材料，不降级、不损坏装备。期望成本由成功率计算；+7以后为扩展锚点。</x:v>
      </x:c>
      <x:c r="M2" s="7" t="str">
        <x:v>失败只损失当次材料，不降级、不损坏装备。期望成本由成功率计算；+7以后为扩展锚点。</x:v>
      </x:c>
      <x:c r="N2" s="7" t="str">
        <x:v>失败只损失当次材料，不降级、不损坏装备。期望成本由成功率计算；+7以后为扩展锚点。</x:v>
      </x:c>
      <x:c r="O2" s="7" t="str">
        <x:v>失败只损失当次材料，不降级、不损坏装备。期望成本由成功率计算；+7以后为扩展锚点。</x:v>
      </x:c>
    </x:row>
    <x:row r="3">
      <x:c r="A3" s="7" t="str">
        <x:v>失败只损失当次材料，不降级、不损坏装备。期望成本由成功率计算；+7以后为扩展锚点。</x:v>
      </x:c>
      <x:c r="B3" s="7" t="str">
        <x:v>失败只损失当次材料，不降级、不损坏装备。期望成本由成功率计算；+7以后为扩展锚点。</x:v>
      </x:c>
      <x:c r="C3" s="7" t="str">
        <x:v>失败只损失当次材料，不降级、不损坏装备。期望成本由成功率计算；+7以后为扩展锚点。</x:v>
      </x:c>
      <x:c r="D3" s="7" t="str">
        <x:v>失败只损失当次材料，不降级、不损坏装备。期望成本由成功率计算；+7以后为扩展锚点。</x:v>
      </x:c>
      <x:c r="E3" s="7" t="str">
        <x:v>失败只损失当次材料，不降级、不损坏装备。期望成本由成功率计算；+7以后为扩展锚点。</x:v>
      </x:c>
      <x:c r="F3" s="7" t="str">
        <x:v>失败只损失当次材料，不降级、不损坏装备。期望成本由成功率计算；+7以后为扩展锚点。</x:v>
      </x:c>
      <x:c r="G3" s="7" t="str">
        <x:v>失败只损失当次材料，不降级、不损坏装备。期望成本由成功率计算；+7以后为扩展锚点。</x:v>
      </x:c>
      <x:c r="H3" s="7" t="str">
        <x:v>失败只损失当次材料，不降级、不损坏装备。期望成本由成功率计算；+7以后为扩展锚点。</x:v>
      </x:c>
      <x:c r="I3" s="7" t="str">
        <x:v>失败只损失当次材料，不降级、不损坏装备。期望成本由成功率计算；+7以后为扩展锚点。</x:v>
      </x:c>
      <x:c r="J3" s="7" t="str">
        <x:v>失败只损失当次材料，不降级、不损坏装备。期望成本由成功率计算；+7以后为扩展锚点。</x:v>
      </x:c>
      <x:c r="K3" s="7" t="str">
        <x:v>失败只损失当次材料，不降级、不损坏装备。期望成本由成功率计算；+7以后为扩展锚点。</x:v>
      </x:c>
      <x:c r="L3" s="7" t="str">
        <x:v>失败只损失当次材料，不降级、不损坏装备。期望成本由成功率计算；+7以后为扩展锚点。</x:v>
      </x:c>
      <x:c r="M3" s="7" t="str">
        <x:v>失败只损失当次材料，不降级、不损坏装备。期望成本由成功率计算；+7以后为扩展锚点。</x:v>
      </x:c>
      <x:c r="N3" s="7" t="str">
        <x:v>失败只损失当次材料，不降级、不损坏装备。期望成本由成功率计算；+7以后为扩展锚点。</x:v>
      </x:c>
      <x:c r="O3" s="7" t="str">
        <x:v>失败只损失当次材料，不降级、不损坏装备。期望成本由成功率计算；+7以后为扩展锚点。</x:v>
      </x:c>
    </x:row>
    <x:row r="5" ht="28" customHeight="1">
      <x:c r="A5" s="19" t="str">
        <x:v>目标强化</x:v>
      </x:c>
      <x:c r="B5" s="20" t="str">
        <x:v>基础成功率</x:v>
      </x:c>
      <x:c r="C5" s="20" t="str">
        <x:v>每次属性提升</x:v>
      </x:c>
      <x:c r="D5" s="20" t="str">
        <x:v>淬炼石/次</x:v>
      </x:c>
      <x:c r="E5" s="20" t="str">
        <x:v>灵石/次</x:v>
      </x:c>
      <x:c r="F5" s="20" t="str">
        <x:v>同类装备价值/次</x:v>
      </x:c>
      <x:c r="G5" s="20" t="str">
        <x:v>保护材料/次</x:v>
      </x:c>
      <x:c r="H5" s="20" t="str">
        <x:v>范围</x:v>
      </x:c>
      <x:c r="I5" s="20" t="str">
        <x:v>期望尝试</x:v>
      </x:c>
      <x:c r="J5" s="20" t="str">
        <x:v>期望淬炼石</x:v>
      </x:c>
      <x:c r="K5" s="20" t="str">
        <x:v>期望灵石</x:v>
      </x:c>
      <x:c r="L5" s="20" t="str">
        <x:v>期望同类装备价值</x:v>
      </x:c>
      <x:c r="M5" s="20" t="str">
        <x:v>期望总成本</x:v>
      </x:c>
      <x:c r="N5" s="20" t="str">
        <x:v>累计总成本</x:v>
      </x:c>
      <x:c r="O5" s="21" t="str">
        <x:v>累计属性倍率</x:v>
      </x:c>
    </x:row>
    <x:row r="6">
      <x:c r="A6" s="29" t="n">
        <x:v>1</x:v>
      </x:c>
      <x:c r="B6" s="70" t="n">
        <x:v>0.95</x:v>
      </x:c>
      <x:c r="C6" s="70" t="n">
        <x:v>0.04</x:v>
      </x:c>
      <x:c r="D6" s="29" t="n">
        <x:v>1</x:v>
      </x:c>
      <x:c r="E6" s="49" t="n">
        <x:v>20</x:v>
      </x:c>
      <x:c r="F6" s="49" t="n">
        <x:v>0</x:v>
      </x:c>
      <x:c r="G6" s="49" t="n">
        <x:v>0</x:v>
      </x:c>
      <x:c r="H6" s="29" t="str">
        <x:v>MVP</x:v>
      </x:c>
      <x:c r="I6" s="55" t="n">
        <x:f>1/B6</x:f>
        <x:v>1.0526315789473684</x:v>
      </x:c>
      <x:c r="J6" s="39" t="n">
        <x:f>D6*I6</x:f>
        <x:v>1.0526315789473684</x:v>
      </x:c>
      <x:c r="K6" s="39" t="n">
        <x:f>E6*I6</x:f>
        <x:v>21.052631578947366</x:v>
      </x:c>
      <x:c r="L6" s="39" t="n">
        <x:f>F6*I6</x:f>
        <x:v>0</x:v>
      </x:c>
      <x:c r="M6" s="39" t="n">
        <x:f>J6*IF("淬炼石"="",0,IFERROR(VLOOKUP("淬炼石",'14_市场基准价'!$A$6:$J$80,4,FALSE),0))+K6+L6+G6*I6</x:f>
        <x:v>44.210526315789465</x:v>
      </x:c>
      <x:c r="N6" s="39" t="n">
        <x:f>M6</x:f>
        <x:v>44.210526315789465</x:v>
      </x:c>
      <x:c r="O6" s="67" t="n">
        <x:f>1+C6</x:f>
        <x:v>1.04</x:v>
      </x:c>
    </x:row>
    <x:row r="7">
      <x:c r="A7" s="30" t="n">
        <x:v>2</x:v>
      </x:c>
      <x:c r="B7" s="33" t="n">
        <x:v>0.85</x:v>
      </x:c>
      <x:c r="C7" s="33" t="n">
        <x:v>0.045</x:v>
      </x:c>
      <x:c r="D7" s="30" t="n">
        <x:v>1</x:v>
      </x:c>
      <x:c r="E7" s="50" t="n">
        <x:v>34</x:v>
      </x:c>
      <x:c r="F7" s="50" t="n">
        <x:v>0</x:v>
      </x:c>
      <x:c r="G7" s="50" t="n">
        <x:v>0</x:v>
      </x:c>
      <x:c r="H7" s="30" t="str">
        <x:v>MVP</x:v>
      </x:c>
      <x:c r="I7" s="56" t="n">
        <x:f>1/B7</x:f>
        <x:v>1.1764705882352942</x:v>
      </x:c>
      <x:c r="J7" s="41" t="n">
        <x:f>D7*I7</x:f>
        <x:v>1.1764705882352942</x:v>
      </x:c>
      <x:c r="K7" s="41" t="n">
        <x:f>E7*I7</x:f>
        <x:v>40</x:v>
      </x:c>
      <x:c r="L7" s="41" t="n">
        <x:f>F7*I7</x:f>
        <x:v>0</x:v>
      </x:c>
      <x:c r="M7" s="41" t="n">
        <x:f>J7*IF("淬炼石"="",0,IFERROR(VLOOKUP("淬炼石",'14_市场基准价'!$A$6:$J$80,4,FALSE),0))+K7+L7+G7*I7</x:f>
        <x:v>65.88235294117646</x:v>
      </x:c>
      <x:c r="N7" s="41" t="n">
        <x:f>N6+M7</x:f>
        <x:v>110.09287925696593</x:v>
      </x:c>
      <x:c r="O7" s="68" t="n">
        <x:f>O6*(1+C7)</x:f>
        <x:v>1.0868</x:v>
      </x:c>
    </x:row>
    <x:row r="8">
      <x:c r="A8" s="30" t="n">
        <x:v>3</x:v>
      </x:c>
      <x:c r="B8" s="33" t="n">
        <x:v>0.72</x:v>
      </x:c>
      <x:c r="C8" s="33" t="n">
        <x:v>0.05</x:v>
      </x:c>
      <x:c r="D8" s="30" t="n">
        <x:v>2</x:v>
      </x:c>
      <x:c r="E8" s="50" t="n">
        <x:v>57.8</x:v>
      </x:c>
      <x:c r="F8" s="50" t="n">
        <x:v>0</x:v>
      </x:c>
      <x:c r="G8" s="50" t="n">
        <x:v>0</x:v>
      </x:c>
      <x:c r="H8" s="30" t="str">
        <x:v>MVP</x:v>
      </x:c>
      <x:c r="I8" s="56" t="n">
        <x:f>1/B8</x:f>
        <x:v>1.3888888888888888</x:v>
      </x:c>
      <x:c r="J8" s="41" t="n">
        <x:f>D8*I8</x:f>
        <x:v>2.7777777777777777</x:v>
      </x:c>
      <x:c r="K8" s="41" t="n">
        <x:f>E8*I8</x:f>
        <x:v>80.27777777777777</x:v>
      </x:c>
      <x:c r="L8" s="41" t="n">
        <x:f>F8*I8</x:f>
        <x:v>0</x:v>
      </x:c>
      <x:c r="M8" s="41" t="n">
        <x:f>J8*IF("淬炼石"="",0,IFERROR(VLOOKUP("淬炼石",'14_市场基准价'!$A$6:$J$80,4,FALSE),0))+K8+L8+G8*I8</x:f>
        <x:v>141.38888888888889</x:v>
      </x:c>
      <x:c r="N8" s="41" t="n">
        <x:f>N7+M8</x:f>
        <x:v>251.4817681458548</x:v>
      </x:c>
      <x:c r="O8" s="68" t="n">
        <x:f>O7*(1+C8)</x:f>
        <x:v>1.14114</x:v>
      </x:c>
    </x:row>
    <x:row r="9">
      <x:c r="A9" s="30" t="n">
        <x:v>4</x:v>
      </x:c>
      <x:c r="B9" s="33" t="n">
        <x:v>0.58</x:v>
      </x:c>
      <x:c r="C9" s="33" t="n">
        <x:v>0.055</x:v>
      </x:c>
      <x:c r="D9" s="30" t="n">
        <x:v>2</x:v>
      </x:c>
      <x:c r="E9" s="50" t="n">
        <x:v>98.25999999999999</x:v>
      </x:c>
      <x:c r="F9" s="50" t="n">
        <x:v>0</x:v>
      </x:c>
      <x:c r="G9" s="50" t="n">
        <x:v>0</x:v>
      </x:c>
      <x:c r="H9" s="30" t="str">
        <x:v>MVP</x:v>
      </x:c>
      <x:c r="I9" s="56" t="n">
        <x:f>1/B9</x:f>
        <x:v>1.7241379310344829</x:v>
      </x:c>
      <x:c r="J9" s="41" t="n">
        <x:f>D9*I9</x:f>
        <x:v>3.4482758620689657</x:v>
      </x:c>
      <x:c r="K9" s="41" t="n">
        <x:f>E9*I9</x:f>
        <x:v>169.41379310344828</x:v>
      </x:c>
      <x:c r="L9" s="41" t="n">
        <x:f>F9*I9</x:f>
        <x:v>0</x:v>
      </x:c>
      <x:c r="M9" s="41" t="n">
        <x:f>J9*IF("淬炼石"="",0,IFERROR(VLOOKUP("淬炼石",'14_市场基准价'!$A$6:$J$80,4,FALSE),0))+K9+L9+G9*I9</x:f>
        <x:v>245.27586206896552</x:v>
      </x:c>
      <x:c r="N9" s="41" t="n">
        <x:f>N8+M9</x:f>
        <x:v>496.7576302148203</x:v>
      </x:c>
      <x:c r="O9" s="68" t="n">
        <x:f>O8*(1+C9)</x:f>
        <x:v>1.2039027</x:v>
      </x:c>
    </x:row>
    <x:row r="10">
      <x:c r="A10" s="30" t="n">
        <x:v>5</x:v>
      </x:c>
      <x:c r="B10" s="33" t="n">
        <x:v>0.45</x:v>
      </x:c>
      <x:c r="C10" s="33" t="n">
        <x:v>0.06</x:v>
      </x:c>
      <x:c r="D10" s="30" t="n">
        <x:v>3</x:v>
      </x:c>
      <x:c r="E10" s="50" t="n">
        <x:v>167.04199999999997</x:v>
      </x:c>
      <x:c r="F10" s="50" t="n">
        <x:v>0</x:v>
      </x:c>
      <x:c r="G10" s="50" t="n">
        <x:v>0</x:v>
      </x:c>
      <x:c r="H10" s="30" t="str">
        <x:v>MVP</x:v>
      </x:c>
      <x:c r="I10" s="56" t="n">
        <x:f>1/B10</x:f>
        <x:v>2.2222222222222223</x:v>
      </x:c>
      <x:c r="J10" s="41" t="n">
        <x:f>D10*I10</x:f>
        <x:v>6.666666666666667</x:v>
      </x:c>
      <x:c r="K10" s="41" t="n">
        <x:f>E10*I10</x:f>
        <x:v>371.2044444444444</x:v>
      </x:c>
      <x:c r="L10" s="41" t="n">
        <x:f>F10*I10</x:f>
        <x:v>0</x:v>
      </x:c>
      <x:c r="M10" s="41" t="n">
        <x:f>J10*IF("淬炼石"="",0,IFERROR(VLOOKUP("淬炼石",'14_市场基准价'!$A$6:$J$80,4,FALSE),0))+K10+L10+G10*I10</x:f>
        <x:v>517.8711111111111</x:v>
      </x:c>
      <x:c r="N10" s="41" t="n">
        <x:f>N9+M10</x:f>
        <x:v>1014.6287413259314</x:v>
      </x:c>
      <x:c r="O10" s="68" t="n">
        <x:f>O9*(1+C10)</x:f>
        <x:v>1.276136862</x:v>
      </x:c>
    </x:row>
    <x:row r="11">
      <x:c r="A11" s="30" t="n">
        <x:v>6</x:v>
      </x:c>
      <x:c r="B11" s="33" t="n">
        <x:v>0.34</x:v>
      </x:c>
      <x:c r="C11" s="33" t="n">
        <x:v>0.065</x:v>
      </x:c>
      <x:c r="D11" s="30" t="n">
        <x:v>3</x:v>
      </x:c>
      <x:c r="E11" s="50" t="n">
        <x:v>283.97139999999996</x:v>
      </x:c>
      <x:c r="F11" s="50" t="n">
        <x:v>100</x:v>
      </x:c>
      <x:c r="G11" s="50" t="n">
        <x:v>0</x:v>
      </x:c>
      <x:c r="H11" s="30" t="str">
        <x:v>MVP</x:v>
      </x:c>
      <x:c r="I11" s="56" t="n">
        <x:f>1/B11</x:f>
        <x:v>2.941176470588235</x:v>
      </x:c>
      <x:c r="J11" s="41" t="n">
        <x:f>D11*I11</x:f>
        <x:v>8.823529411764705</x:v>
      </x:c>
      <x:c r="K11" s="41" t="n">
        <x:f>E11*I11</x:f>
        <x:v>835.2099999999998</x:v>
      </x:c>
      <x:c r="L11" s="41" t="n">
        <x:f>F11*I11</x:f>
        <x:v>294.1176470588235</x:v>
      </x:c>
      <x:c r="M11" s="41" t="n">
        <x:f>J11*IF("淬炼石"="",0,IFERROR(VLOOKUP("淬炼石",'14_市场基准价'!$A$6:$J$80,4,FALSE),0))+K11+L11+G11*I11</x:f>
        <x:v>1323.4452941176467</x:v>
      </x:c>
      <x:c r="N11" s="41" t="n">
        <x:f>N10+M11</x:f>
        <x:v>2338.074035443578</x:v>
      </x:c>
      <x:c r="O11" s="68" t="n">
        <x:f>O10*(1+C11)</x:f>
        <x:v>1.35908575803</x:v>
      </x:c>
    </x:row>
    <x:row r="12">
      <x:c r="A12" s="30" t="n">
        <x:v>7</x:v>
      </x:c>
      <x:c r="B12" s="33" t="n">
        <x:v>0.25</x:v>
      </x:c>
      <x:c r="C12" s="33" t="n">
        <x:v>0.07</x:v>
      </x:c>
      <x:c r="D12" s="30" t="n">
        <x:v>4</x:v>
      </x:c>
      <x:c r="E12" s="50" t="n">
        <x:v>482.7513799999999</x:v>
      </x:c>
      <x:c r="F12" s="50" t="n">
        <x:v>200</x:v>
      </x:c>
      <x:c r="G12" s="50" t="n">
        <x:v>0</x:v>
      </x:c>
      <x:c r="H12" s="30" t="str">
        <x:v>扩展锚点</x:v>
      </x:c>
      <x:c r="I12" s="56" t="n">
        <x:f>1/B12</x:f>
        <x:v>4</x:v>
      </x:c>
      <x:c r="J12" s="41" t="n">
        <x:f>D12*I12</x:f>
        <x:v>16</x:v>
      </x:c>
      <x:c r="K12" s="41" t="n">
        <x:f>E12*I12</x:f>
        <x:v>1931.0055199999997</x:v>
      </x:c>
      <x:c r="L12" s="41" t="n">
        <x:f>F12*I12</x:f>
        <x:v>800</x:v>
      </x:c>
      <x:c r="M12" s="41" t="n">
        <x:f>J12*IF("淬炼石"="",0,IFERROR(VLOOKUP("淬炼石",'14_市场基准价'!$A$6:$J$80,4,FALSE),0))+K12+L12+G12*I12</x:f>
        <x:v>3083.0055199999997</x:v>
      </x:c>
      <x:c r="N12" s="41" t="n">
        <x:f>N11+M12</x:f>
        <x:v>5421.079555443577</x:v>
      </x:c>
      <x:c r="O12" s="68" t="n">
        <x:f>O11*(1+C12)</x:f>
        <x:v>1.4542217610921</x:v>
      </x:c>
    </x:row>
    <x:row r="13">
      <x:c r="A13" s="30" t="n">
        <x:v>8</x:v>
      </x:c>
      <x:c r="B13" s="33" t="n">
        <x:v>0.18</x:v>
      </x:c>
      <x:c r="C13" s="33" t="n">
        <x:v>0.07500000000000001</x:v>
      </x:c>
      <x:c r="D13" s="30" t="n">
        <x:v>4</x:v>
      </x:c>
      <x:c r="E13" s="50" t="n">
        <x:v>820.6773459999998</x:v>
      </x:c>
      <x:c r="F13" s="50" t="n">
        <x:v>300</x:v>
      </x:c>
      <x:c r="G13" s="50" t="n">
        <x:v>30</x:v>
      </x:c>
      <x:c r="H13" s="30" t="str">
        <x:v>扩展锚点</x:v>
      </x:c>
      <x:c r="I13" s="56" t="n">
        <x:f>1/B13</x:f>
        <x:v>5.555555555555555</x:v>
      </x:c>
      <x:c r="J13" s="41" t="n">
        <x:f>D13*I13</x:f>
        <x:v>22.22222222222222</x:v>
      </x:c>
      <x:c r="K13" s="41" t="n">
        <x:f>E13*I13</x:f>
        <x:v>4559.3185888888875</x:v>
      </x:c>
      <x:c r="L13" s="41" t="n">
        <x:f>F13*I13</x:f>
        <x:v>1666.6666666666665</x:v>
      </x:c>
      <x:c r="M13" s="41" t="n">
        <x:f>J13*IF("淬炼石"="",0,IFERROR(VLOOKUP("淬炼石",'14_市场基准价'!$A$6:$J$80,4,FALSE),0))+K13+L13+G13*I13</x:f>
        <x:v>6881.540811111109</x:v>
      </x:c>
      <x:c r="N13" s="41" t="n">
        <x:f>N12+M13</x:f>
        <x:v>12302.620366554685</x:v>
      </x:c>
      <x:c r="O13" s="68" t="n">
        <x:f>O12*(1+C13)</x:f>
        <x:v>1.5632883931740074</x:v>
      </x:c>
    </x:row>
    <x:row r="14">
      <x:c r="A14" s="30" t="n">
        <x:v>9</x:v>
      </x:c>
      <x:c r="B14" s="33" t="n">
        <x:v>0.12</x:v>
      </x:c>
      <x:c r="C14" s="33" t="n">
        <x:v>0.08</x:v>
      </x:c>
      <x:c r="D14" s="30" t="n">
        <x:v>5</x:v>
      </x:c>
      <x:c r="E14" s="50" t="n">
        <x:v>1395.1514881999997</x:v>
      </x:c>
      <x:c r="F14" s="50" t="n">
        <x:v>400</x:v>
      </x:c>
      <x:c r="G14" s="50" t="n">
        <x:v>60</x:v>
      </x:c>
      <x:c r="H14" s="30" t="str">
        <x:v>扩展锚点</x:v>
      </x:c>
      <x:c r="I14" s="56" t="n">
        <x:f>1/B14</x:f>
        <x:v>8.333333333333334</x:v>
      </x:c>
      <x:c r="J14" s="41" t="n">
        <x:f>D14*I14</x:f>
        <x:v>41.66666666666667</x:v>
      </x:c>
      <x:c r="K14" s="41" t="n">
        <x:f>E14*I14</x:f>
        <x:v>11626.262401666665</x:v>
      </x:c>
      <x:c r="L14" s="41" t="n">
        <x:f>F14*I14</x:f>
        <x:v>3333.3333333333335</x:v>
      </x:c>
      <x:c r="M14" s="41" t="n">
        <x:f>J14*IF("淬炼石"="",0,IFERROR(VLOOKUP("淬炼石",'14_市场基准价'!$A$6:$J$80,4,FALSE),0))+K14+L14+G14*I14</x:f>
        <x:v>16376.262401666665</x:v>
      </x:c>
      <x:c r="N14" s="41" t="n">
        <x:f>N13+M14</x:f>
        <x:v>28678.882768221352</x:v>
      </x:c>
      <x:c r="O14" s="68" t="n">
        <x:f>O13*(1+C14)</x:f>
        <x:v>1.688351464627928</x:v>
      </x:c>
    </x:row>
    <x:row r="15">
      <x:c r="A15" s="31" t="n">
        <x:v>10</x:v>
      </x:c>
      <x:c r="B15" s="71" t="n">
        <x:v>0.08</x:v>
      </x:c>
      <x:c r="C15" s="71" t="n">
        <x:v>0.08499999999999999</x:v>
      </x:c>
      <x:c r="D15" s="31" t="n">
        <x:v>5</x:v>
      </x:c>
      <x:c r="E15" s="51" t="n">
        <x:v>2371.7575299399996</x:v>
      </x:c>
      <x:c r="F15" s="51" t="n">
        <x:v>500</x:v>
      </x:c>
      <x:c r="G15" s="51" t="n">
        <x:v>90</x:v>
      </x:c>
      <x:c r="H15" s="31" t="str">
        <x:v>扩展锚点</x:v>
      </x:c>
      <x:c r="I15" s="57" t="n">
        <x:f>1/B15</x:f>
        <x:v>12.5</x:v>
      </x:c>
      <x:c r="J15" s="43" t="n">
        <x:f>D15*I15</x:f>
        <x:v>62.5</x:v>
      </x:c>
      <x:c r="K15" s="43" t="n">
        <x:f>E15*I15</x:f>
        <x:v>29646.969124249994</x:v>
      </x:c>
      <x:c r="L15" s="43" t="n">
        <x:f>F15*I15</x:f>
        <x:v>6250</x:v>
      </x:c>
      <x:c r="M15" s="43" t="n">
        <x:f>J15*IF("淬炼石"="",0,IFERROR(VLOOKUP("淬炼石",'14_市场基准价'!$A$6:$J$80,4,FALSE),0))+K15+L15+G15*I15</x:f>
        <x:v>38396.96912425</x:v>
      </x:c>
      <x:c r="N15" s="43" t="n">
        <x:f>N14+M15</x:f>
        <x:v>67075.85189247134</x:v>
      </x:c>
      <x:c r="O15" s="69" t="n">
        <x:f>O14*(1+C15)</x:f>
        <x:v>1.831861339121302</x:v>
      </x:c>
    </x:row>
  </x:sheetData>
  <x:mergeCells>
    <x:mergeCell ref="A1:O1"/>
    <x:mergeCell ref="A2:O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0" customHeight="1">
      <x:c r="A1" s="3" t="str">
        <x:v>市场基准价与模拟买卖盘</x:v>
      </x:c>
      <x:c r="B1" s="3" t="str">
        <x:v>市场基准价与模拟买卖盘</x:v>
      </x:c>
      <x:c r="C1" s="3" t="str">
        <x:v>市场基准价与模拟买卖盘</x:v>
      </x:c>
      <x:c r="D1" s="3" t="str">
        <x:v>市场基准价与模拟买卖盘</x:v>
      </x:c>
      <x:c r="E1" s="3" t="str">
        <x:v>市场基准价与模拟买卖盘</x:v>
      </x:c>
      <x:c r="F1" s="3" t="str">
        <x:v>市场基准价与模拟买卖盘</x:v>
      </x:c>
      <x:c r="G1" s="3" t="str">
        <x:v>市场基准价与模拟买卖盘</x:v>
      </x:c>
      <x:c r="H1" s="3" t="str">
        <x:v>市场基准价与模拟买卖盘</x:v>
      </x:c>
      <x:c r="I1" s="3" t="str">
        <x:v>市场基准价与模拟买卖盘</x:v>
      </x:c>
      <x:c r="J1" s="3" t="str">
        <x:v>市场基准价与模拟买卖盘</x:v>
      </x:c>
    </x:row>
    <x:row r="2">
      <x:c r="A2" s="7" t="str">
        <x:v>基准价是设计锚，不代表未来真实玩家市场价格。NPC底价、买一卖一、税后收入与价格区间均由公式计算。黄色价格可调。</x:v>
      </x:c>
      <x:c r="B2" s="7" t="str">
        <x:v>基准价是设计锚，不代表未来真实玩家市场价格。NPC底价、买一卖一、税后收入与价格区间均由公式计算。黄色价格可调。</x:v>
      </x:c>
      <x:c r="C2" s="7" t="str">
        <x:v>基准价是设计锚，不代表未来真实玩家市场价格。NPC底价、买一卖一、税后收入与价格区间均由公式计算。黄色价格可调。</x:v>
      </x:c>
      <x:c r="D2" s="7" t="str">
        <x:v>基准价是设计锚，不代表未来真实玩家市场价格。NPC底价、买一卖一、税后收入与价格区间均由公式计算。黄色价格可调。</x:v>
      </x:c>
      <x:c r="E2" s="7" t="str">
        <x:v>基准价是设计锚，不代表未来真实玩家市场价格。NPC底价、买一卖一、税后收入与价格区间均由公式计算。黄色价格可调。</x:v>
      </x:c>
      <x:c r="F2" s="7" t="str">
        <x:v>基准价是设计锚，不代表未来真实玩家市场价格。NPC底价、买一卖一、税后收入与价格区间均由公式计算。黄色价格可调。</x:v>
      </x:c>
      <x:c r="G2" s="7" t="str">
        <x:v>基准价是设计锚，不代表未来真实玩家市场价格。NPC底价、买一卖一、税后收入与价格区间均由公式计算。黄色价格可调。</x:v>
      </x:c>
      <x:c r="H2" s="7" t="str">
        <x:v>基准价是设计锚，不代表未来真实玩家市场价格。NPC底价、买一卖一、税后收入与价格区间均由公式计算。黄色价格可调。</x:v>
      </x:c>
      <x:c r="I2" s="7" t="str">
        <x:v>基准价是设计锚，不代表未来真实玩家市场价格。NPC底价、买一卖一、税后收入与价格区间均由公式计算。黄色价格可调。</x:v>
      </x:c>
      <x:c r="J2" s="7" t="str">
        <x:v>基准价是设计锚，不代表未来真实玩家市场价格。NPC底价、买一卖一、税后收入与价格区间均由公式计算。黄色价格可调。</x:v>
      </x:c>
    </x:row>
    <x:row r="3">
      <x:c r="A3" s="7" t="str">
        <x:v>基准价是设计锚，不代表未来真实玩家市场价格。NPC底价、买一卖一、税后收入与价格区间均由公式计算。黄色价格可调。</x:v>
      </x:c>
      <x:c r="B3" s="7" t="str">
        <x:v>基准价是设计锚，不代表未来真实玩家市场价格。NPC底价、买一卖一、税后收入与价格区间均由公式计算。黄色价格可调。</x:v>
      </x:c>
      <x:c r="C3" s="7" t="str">
        <x:v>基准价是设计锚，不代表未来真实玩家市场价格。NPC底价、买一卖一、税后收入与价格区间均由公式计算。黄色价格可调。</x:v>
      </x:c>
      <x:c r="D3" s="7" t="str">
        <x:v>基准价是设计锚，不代表未来真实玩家市场价格。NPC底价、买一卖一、税后收入与价格区间均由公式计算。黄色价格可调。</x:v>
      </x:c>
      <x:c r="E3" s="7" t="str">
        <x:v>基准价是设计锚，不代表未来真实玩家市场价格。NPC底价、买一卖一、税后收入与价格区间均由公式计算。黄色价格可调。</x:v>
      </x:c>
      <x:c r="F3" s="7" t="str">
        <x:v>基准价是设计锚，不代表未来真实玩家市场价格。NPC底价、买一卖一、税后收入与价格区间均由公式计算。黄色价格可调。</x:v>
      </x:c>
      <x:c r="G3" s="7" t="str">
        <x:v>基准价是设计锚，不代表未来真实玩家市场价格。NPC底价、买一卖一、税后收入与价格区间均由公式计算。黄色价格可调。</x:v>
      </x:c>
      <x:c r="H3" s="7" t="str">
        <x:v>基准价是设计锚，不代表未来真实玩家市场价格。NPC底价、买一卖一、税后收入与价格区间均由公式计算。黄色价格可调。</x:v>
      </x:c>
      <x:c r="I3" s="7" t="str">
        <x:v>基准价是设计锚，不代表未来真实玩家市场价格。NPC底价、买一卖一、税后收入与价格区间均由公式计算。黄色价格可调。</x:v>
      </x:c>
      <x:c r="J3" s="7" t="str">
        <x:v>基准价是设计锚，不代表未来真实玩家市场价格。NPC底价、买一卖一、税后收入与价格区间均由公式计算。黄色价格可调。</x:v>
      </x:c>
    </x:row>
    <x:row r="5" ht="28" customHeight="1">
      <x:c r="A5" s="19" t="str">
        <x:v>物品</x:v>
      </x:c>
      <x:c r="B5" s="20" t="str">
        <x:v>类别</x:v>
      </x:c>
      <x:c r="C5" s="20" t="str">
        <x:v>阶级</x:v>
      </x:c>
      <x:c r="D5" s="20" t="str">
        <x:v>市场基准价</x:v>
      </x:c>
      <x:c r="E5" s="20" t="str">
        <x:v>NPC底价</x:v>
      </x:c>
      <x:c r="F5" s="20" t="str">
        <x:v>模拟买价</x:v>
      </x:c>
      <x:c r="G5" s="20" t="str">
        <x:v>模拟卖价</x:v>
      </x:c>
      <x:c r="H5" s="20" t="str">
        <x:v>税后卖出收入</x:v>
      </x:c>
      <x:c r="I5" s="20" t="str">
        <x:v>低波动价</x:v>
      </x:c>
      <x:c r="J5" s="21" t="str">
        <x:v>高波动价</x:v>
      </x:c>
    </x:row>
    <x:row r="6">
      <x:c r="A6" s="29" t="str">
        <x:v>青灵草</x:v>
      </x:c>
      <x:c r="B6" s="29" t="str">
        <x:v>药材</x:v>
      </x:c>
      <x:c r="C6" s="29" t="n">
        <x:v>1</x:v>
      </x:c>
      <x:c r="D6" s="38" t="n">
        <x:v>2</x:v>
      </x:c>
      <x:c r="E6" s="39" t="n">
        <x:f>D6*'01_核心假设'!$B$16</x:f>
        <x:v>0.7</x:v>
      </x:c>
      <x:c r="F6" s="39" t="n">
        <x:f>D6*(1-'01_核心假设'!$B$17)</x:f>
        <x:v>1.84</x:v>
      </x:c>
      <x:c r="G6" s="39" t="n">
        <x:f>D6*(1+'01_核心假设'!$B$17)</x:f>
        <x:v>2.16</x:v>
      </x:c>
      <x:c r="H6" s="39" t="n">
        <x:f>F6*(1-'01_核心假设'!$B$15)</x:f>
        <x:v>1.7848</x:v>
      </x:c>
      <x:c r="I6" s="39" t="n">
        <x:f>D6*(1-2*'01_核心假设'!$B$17)</x:f>
        <x:v>1.68</x:v>
      </x:c>
      <x:c r="J6" s="39" t="n">
        <x:f>D6*(1+2*'01_核心假设'!$B$17)</x:f>
        <x:v>2.32</x:v>
      </x:c>
    </x:row>
    <x:row r="7">
      <x:c r="A7" s="30" t="str">
        <x:v>凝露花</x:v>
      </x:c>
      <x:c r="B7" s="30" t="str">
        <x:v>药材</x:v>
      </x:c>
      <x:c r="C7" s="30" t="n">
        <x:v>1</x:v>
      </x:c>
      <x:c r="D7" s="40" t="n">
        <x:v>8</x:v>
      </x:c>
      <x:c r="E7" s="41" t="n">
        <x:f>D7*'01_核心假设'!$B$16</x:f>
        <x:v>2.8</x:v>
      </x:c>
      <x:c r="F7" s="41" t="n">
        <x:f>D7*(1-'01_核心假设'!$B$17)</x:f>
        <x:v>7.36</x:v>
      </x:c>
      <x:c r="G7" s="41" t="n">
        <x:f>D7*(1+'01_核心假设'!$B$17)</x:f>
        <x:v>8.64</x:v>
      </x:c>
      <x:c r="H7" s="41" t="n">
        <x:f>F7*(1-'01_核心假设'!$B$15)</x:f>
        <x:v>7.1392</x:v>
      </x:c>
      <x:c r="I7" s="41" t="n">
        <x:f>D7*(1-2*'01_核心假设'!$B$17)</x:f>
        <x:v>6.72</x:v>
      </x:c>
      <x:c r="J7" s="41" t="n">
        <x:f>D7*(1+2*'01_核心假设'!$B$17)</x:f>
        <x:v>9.28</x:v>
      </x:c>
    </x:row>
    <x:row r="8">
      <x:c r="A8" s="30" t="str">
        <x:v>紫叶兰</x:v>
      </x:c>
      <x:c r="B8" s="30" t="str">
        <x:v>药材</x:v>
      </x:c>
      <x:c r="C8" s="30" t="n">
        <x:v>1</x:v>
      </x:c>
      <x:c r="D8" s="40" t="n">
        <x:v>18</x:v>
      </x:c>
      <x:c r="E8" s="41" t="n">
        <x:f>D8*'01_核心假设'!$B$16</x:f>
        <x:v>6.3</x:v>
      </x:c>
      <x:c r="F8" s="41" t="n">
        <x:f>D8*(1-'01_核心假设'!$B$17)</x:f>
        <x:v>16.560000000000002</x:v>
      </x:c>
      <x:c r="G8" s="41" t="n">
        <x:f>D8*(1+'01_核心假设'!$B$17)</x:f>
        <x:v>19.44</x:v>
      </x:c>
      <x:c r="H8" s="41" t="n">
        <x:f>F8*(1-'01_核心假设'!$B$15)</x:f>
        <x:v>16.063200000000002</x:v>
      </x:c>
      <x:c r="I8" s="41" t="n">
        <x:f>D8*(1-2*'01_核心假设'!$B$17)</x:f>
        <x:v>15.12</x:v>
      </x:c>
      <x:c r="J8" s="41" t="n">
        <x:f>D8*(1+2*'01_核心假设'!$B$17)</x:f>
        <x:v>20.88</x:v>
      </x:c>
    </x:row>
    <x:row r="9">
      <x:c r="A9" s="30" t="str">
        <x:v>地脉参</x:v>
      </x:c>
      <x:c r="B9" s="30" t="str">
        <x:v>药材</x:v>
      </x:c>
      <x:c r="C9" s="30" t="n">
        <x:v>2</x:v>
      </x:c>
      <x:c r="D9" s="40" t="n">
        <x:v>45</x:v>
      </x:c>
      <x:c r="E9" s="41" t="n">
        <x:f>D9*'01_核心假设'!$B$16</x:f>
        <x:v>15.749999999999998</x:v>
      </x:c>
      <x:c r="F9" s="41" t="n">
        <x:f>D9*(1-'01_核心假设'!$B$17)</x:f>
        <x:v>41.4</x:v>
      </x:c>
      <x:c r="G9" s="41" t="n">
        <x:f>D9*(1+'01_核心假设'!$B$17)</x:f>
        <x:v>48.6</x:v>
      </x:c>
      <x:c r="H9" s="41" t="n">
        <x:f>F9*(1-'01_核心假设'!$B$15)</x:f>
        <x:v>40.157999999999994</x:v>
      </x:c>
      <x:c r="I9" s="41" t="n">
        <x:f>D9*(1-2*'01_核心假设'!$B$17)</x:f>
        <x:v>37.8</x:v>
      </x:c>
      <x:c r="J9" s="41" t="n">
        <x:f>D9*(1+2*'01_核心假设'!$B$17)</x:f>
        <x:v>52.199999999999996</x:v>
      </x:c>
    </x:row>
    <x:row r="10">
      <x:c r="A10" s="30" t="str">
        <x:v>赤铜矿</x:v>
      </x:c>
      <x:c r="B10" s="30" t="str">
        <x:v>矿材</x:v>
      </x:c>
      <x:c r="C10" s="30" t="n">
        <x:v>1</x:v>
      </x:c>
      <x:c r="D10" s="40" t="n">
        <x:v>3</x:v>
      </x:c>
      <x:c r="E10" s="41" t="n">
        <x:f>D10*'01_核心假设'!$B$16</x:f>
        <x:v>1.0499999999999998</x:v>
      </x:c>
      <x:c r="F10" s="41" t="n">
        <x:f>D10*(1-'01_核心假设'!$B$17)</x:f>
        <x:v>2.7600000000000002</x:v>
      </x:c>
      <x:c r="G10" s="41" t="n">
        <x:f>D10*(1+'01_核心假设'!$B$17)</x:f>
        <x:v>3.24</x:v>
      </x:c>
      <x:c r="H10" s="41" t="n">
        <x:f>F10*(1-'01_核心假设'!$B$15)</x:f>
        <x:v>2.6772</x:v>
      </x:c>
      <x:c r="I10" s="41" t="n">
        <x:f>D10*(1-2*'01_核心假设'!$B$17)</x:f>
        <x:v>2.52</x:v>
      </x:c>
      <x:c r="J10" s="41" t="n">
        <x:f>D10*(1+2*'01_核心假设'!$B$17)</x:f>
        <x:v>3.4799999999999995</x:v>
      </x:c>
    </x:row>
    <x:row r="11">
      <x:c r="A11" s="30" t="str">
        <x:v>玄铁矿</x:v>
      </x:c>
      <x:c r="B11" s="30" t="str">
        <x:v>矿材</x:v>
      </x:c>
      <x:c r="C11" s="30" t="n">
        <x:v>1</x:v>
      </x:c>
      <x:c r="D11" s="40" t="n">
        <x:v>12</x:v>
      </x:c>
      <x:c r="E11" s="41" t="n">
        <x:f>D11*'01_核心假设'!$B$16</x:f>
        <x:v>4.199999999999999</x:v>
      </x:c>
      <x:c r="F11" s="41" t="n">
        <x:f>D11*(1-'01_核心假设'!$B$17)</x:f>
        <x:v>11.040000000000001</x:v>
      </x:c>
      <x:c r="G11" s="41" t="n">
        <x:f>D11*(1+'01_核心假设'!$B$17)</x:f>
        <x:v>12.96</x:v>
      </x:c>
      <x:c r="H11" s="41" t="n">
        <x:f>F11*(1-'01_核心假设'!$B$15)</x:f>
        <x:v>10.7088</x:v>
      </x:c>
      <x:c r="I11" s="41" t="n">
        <x:f>D11*(1-2*'01_核心假设'!$B$17)</x:f>
        <x:v>10.08</x:v>
      </x:c>
      <x:c r="J11" s="41" t="n">
        <x:f>D11*(1+2*'01_核心假设'!$B$17)</x:f>
        <x:v>13.919999999999998</x:v>
      </x:c>
    </x:row>
    <x:row r="12">
      <x:c r="A12" s="30" t="str">
        <x:v>星纹钢</x:v>
      </x:c>
      <x:c r="B12" s="30" t="str">
        <x:v>矿材</x:v>
      </x:c>
      <x:c r="C12" s="30" t="n">
        <x:v>2</x:v>
      </x:c>
      <x:c r="D12" s="40" t="n">
        <x:v>35</x:v>
      </x:c>
      <x:c r="E12" s="41" t="n">
        <x:f>D12*'01_核心假设'!$B$16</x:f>
        <x:v>12.25</x:v>
      </x:c>
      <x:c r="F12" s="41" t="n">
        <x:f>D12*(1-'01_核心假设'!$B$17)</x:f>
        <x:v>32.2</x:v>
      </x:c>
      <x:c r="G12" s="41" t="n">
        <x:f>D12*(1+'01_核心假设'!$B$17)</x:f>
        <x:v>37.800000000000004</x:v>
      </x:c>
      <x:c r="H12" s="41" t="n">
        <x:f>F12*(1-'01_核心假设'!$B$15)</x:f>
        <x:v>31.234</x:v>
      </x:c>
      <x:c r="I12" s="41" t="n">
        <x:f>D12*(1-2*'01_核心假设'!$B$17)</x:f>
        <x:v>29.4</x:v>
      </x:c>
      <x:c r="J12" s="41" t="n">
        <x:f>D12*(1+2*'01_核心假设'!$B$17)</x:f>
        <x:v>40.599999999999994</x:v>
      </x:c>
    </x:row>
    <x:row r="13">
      <x:c r="A13" s="30" t="str">
        <x:v>灵玉矿</x:v>
      </x:c>
      <x:c r="B13" s="30" t="str">
        <x:v>矿材</x:v>
      </x:c>
      <x:c r="C13" s="30" t="n">
        <x:v>2</x:v>
      </x:c>
      <x:c r="D13" s="40" t="n">
        <x:v>80</x:v>
      </x:c>
      <x:c r="E13" s="41" t="n">
        <x:f>D13*'01_核心假设'!$B$16</x:f>
        <x:v>28</x:v>
      </x:c>
      <x:c r="F13" s="41" t="n">
        <x:f>D13*(1-'01_核心假设'!$B$17)</x:f>
        <x:v>73.60000000000001</x:v>
      </x:c>
      <x:c r="G13" s="41" t="n">
        <x:f>D13*(1+'01_核心假设'!$B$17)</x:f>
        <x:v>86.4</x:v>
      </x:c>
      <x:c r="H13" s="41" t="n">
        <x:f>F13*(1-'01_核心假设'!$B$15)</x:f>
        <x:v>71.39200000000001</x:v>
      </x:c>
      <x:c r="I13" s="41" t="n">
        <x:f>D13*(1-2*'01_核心假设'!$B$17)</x:f>
        <x:v>67.2</x:v>
      </x:c>
      <x:c r="J13" s="41" t="n">
        <x:f>D13*(1+2*'01_核心假设'!$B$17)</x:f>
        <x:v>92.8</x:v>
      </x:c>
    </x:row>
    <x:row r="14">
      <x:c r="A14" s="30" t="str">
        <x:v>青竹</x:v>
      </x:c>
      <x:c r="B14" s="30" t="str">
        <x:v>灵木</x:v>
      </x:c>
      <x:c r="C14" s="30" t="n">
        <x:v>1</x:v>
      </x:c>
      <x:c r="D14" s="40" t="n">
        <x:v>2</x:v>
      </x:c>
      <x:c r="E14" s="41" t="n">
        <x:f>D14*'01_核心假设'!$B$16</x:f>
        <x:v>0.7</x:v>
      </x:c>
      <x:c r="F14" s="41" t="n">
        <x:f>D14*(1-'01_核心假设'!$B$17)</x:f>
        <x:v>1.84</x:v>
      </x:c>
      <x:c r="G14" s="41" t="n">
        <x:f>D14*(1+'01_核心假设'!$B$17)</x:f>
        <x:v>2.16</x:v>
      </x:c>
      <x:c r="H14" s="41" t="n">
        <x:f>F14*(1-'01_核心假设'!$B$15)</x:f>
        <x:v>1.7848</x:v>
      </x:c>
      <x:c r="I14" s="41" t="n">
        <x:f>D14*(1-2*'01_核心假设'!$B$17)</x:f>
        <x:v>1.68</x:v>
      </x:c>
      <x:c r="J14" s="41" t="n">
        <x:f>D14*(1+2*'01_核心假设'!$B$17)</x:f>
        <x:v>2.32</x:v>
      </x:c>
    </x:row>
    <x:row r="15">
      <x:c r="A15" s="30" t="str">
        <x:v>铁木</x:v>
      </x:c>
      <x:c r="B15" s="30" t="str">
        <x:v>灵木</x:v>
      </x:c>
      <x:c r="C15" s="30" t="n">
        <x:v>2</x:v>
      </x:c>
      <x:c r="D15" s="40" t="n">
        <x:v>10</x:v>
      </x:c>
      <x:c r="E15" s="41" t="n">
        <x:f>D15*'01_核心假设'!$B$16</x:f>
        <x:v>3.5</x:v>
      </x:c>
      <x:c r="F15" s="41" t="n">
        <x:f>D15*(1-'01_核心假设'!$B$17)</x:f>
        <x:v>9.200000000000001</x:v>
      </x:c>
      <x:c r="G15" s="41" t="n">
        <x:f>D15*(1+'01_核心假设'!$B$17)</x:f>
        <x:v>10.8</x:v>
      </x:c>
      <x:c r="H15" s="41" t="n">
        <x:f>F15*(1-'01_核心假设'!$B$15)</x:f>
        <x:v>8.924000000000001</x:v>
      </x:c>
      <x:c r="I15" s="41" t="n">
        <x:f>D15*(1-2*'01_核心假设'!$B$17)</x:f>
        <x:v>8.4</x:v>
      </x:c>
      <x:c r="J15" s="41" t="n">
        <x:f>D15*(1+2*'01_核心假设'!$B$17)</x:f>
        <x:v>11.6</x:v>
      </x:c>
    </x:row>
    <x:row r="16">
      <x:c r="A16" s="30" t="str">
        <x:v>灵髓</x:v>
      </x:c>
      <x:c r="B16" s="30" t="str">
        <x:v>突破材料</x:v>
      </x:c>
      <x:c r="C16" s="30" t="n">
        <x:v>2</x:v>
      </x:c>
      <x:c r="D16" s="40" t="n">
        <x:v>120</x:v>
      </x:c>
      <x:c r="E16" s="41" t="n">
        <x:f>D16*'01_核心假设'!$B$16</x:f>
        <x:v>42</x:v>
      </x:c>
      <x:c r="F16" s="41" t="n">
        <x:f>D16*(1-'01_核心假设'!$B$17)</x:f>
        <x:v>110.4</x:v>
      </x:c>
      <x:c r="G16" s="41" t="n">
        <x:f>D16*(1+'01_核心假设'!$B$17)</x:f>
        <x:v>129.60000000000002</x:v>
      </x:c>
      <x:c r="H16" s="41" t="n">
        <x:f>F16*(1-'01_核心假设'!$B$15)</x:f>
        <x:v>107.08800000000001</x:v>
      </x:c>
      <x:c r="I16" s="41" t="n">
        <x:f>D16*(1-2*'01_核心假设'!$B$17)</x:f>
        <x:v>100.8</x:v>
      </x:c>
      <x:c r="J16" s="41" t="n">
        <x:f>D16*(1+2*'01_核心假设'!$B$17)</x:f>
        <x:v>139.2</x:v>
      </x:c>
    </x:row>
    <x:row r="17">
      <x:c r="A17" s="30" t="str">
        <x:v>妖狼牙</x:v>
      </x:c>
      <x:c r="B17" s="30" t="str">
        <x:v>妖兽材料</x:v>
      </x:c>
      <x:c r="C17" s="30" t="n">
        <x:v>1</x:v>
      </x:c>
      <x:c r="D17" s="40" t="n">
        <x:v>25</x:v>
      </x:c>
      <x:c r="E17" s="41" t="n">
        <x:f>D17*'01_核心假设'!$B$16</x:f>
        <x:v>8.75</x:v>
      </x:c>
      <x:c r="F17" s="41" t="n">
        <x:f>D17*(1-'01_核心假设'!$B$17)</x:f>
        <x:v>23</x:v>
      </x:c>
      <x:c r="G17" s="41" t="n">
        <x:f>D17*(1+'01_核心假设'!$B$17)</x:f>
        <x:v>27</x:v>
      </x:c>
      <x:c r="H17" s="41" t="n">
        <x:f>F17*(1-'01_核心假设'!$B$15)</x:f>
        <x:v>22.31</x:v>
      </x:c>
      <x:c r="I17" s="41" t="n">
        <x:f>D17*(1-2*'01_核心假设'!$B$17)</x:f>
        <x:v>21</x:v>
      </x:c>
      <x:c r="J17" s="41" t="n">
        <x:f>D17*(1+2*'01_核心假设'!$B$17)</x:f>
        <x:v>28.999999999999996</x:v>
      </x:c>
    </x:row>
    <x:row r="18">
      <x:c r="A18" s="30" t="str">
        <x:v>青蛇胆</x:v>
      </x:c>
      <x:c r="B18" s="30" t="str">
        <x:v>妖兽材料</x:v>
      </x:c>
      <x:c r="C18" s="30" t="n">
        <x:v>1</x:v>
      </x:c>
      <x:c r="D18" s="40" t="n">
        <x:v>18</x:v>
      </x:c>
      <x:c r="E18" s="41" t="n">
        <x:f>D18*'01_核心假设'!$B$16</x:f>
        <x:v>6.3</x:v>
      </x:c>
      <x:c r="F18" s="41" t="n">
        <x:f>D18*(1-'01_核心假设'!$B$17)</x:f>
        <x:v>16.560000000000002</x:v>
      </x:c>
      <x:c r="G18" s="41" t="n">
        <x:f>D18*(1+'01_核心假设'!$B$17)</x:f>
        <x:v>19.44</x:v>
      </x:c>
      <x:c r="H18" s="41" t="n">
        <x:f>F18*(1-'01_核心假设'!$B$15)</x:f>
        <x:v>16.063200000000002</x:v>
      </x:c>
      <x:c r="I18" s="41" t="n">
        <x:f>D18*(1-2*'01_核心假设'!$B$17)</x:f>
        <x:v>15.12</x:v>
      </x:c>
      <x:c r="J18" s="41" t="n">
        <x:f>D18*(1+2*'01_核心假设'!$B$17)</x:f>
        <x:v>20.88</x:v>
      </x:c>
    </x:row>
    <x:row r="19">
      <x:c r="A19" s="30" t="str">
        <x:v>石甲</x:v>
      </x:c>
      <x:c r="B19" s="30" t="str">
        <x:v>妖兽材料</x:v>
      </x:c>
      <x:c r="C19" s="30" t="n">
        <x:v>1</x:v>
      </x:c>
      <x:c r="D19" s="40" t="n">
        <x:v>30</x:v>
      </x:c>
      <x:c r="E19" s="41" t="n">
        <x:f>D19*'01_核心假设'!$B$16</x:f>
        <x:v>10.5</x:v>
      </x:c>
      <x:c r="F19" s="41" t="n">
        <x:f>D19*(1-'01_核心假设'!$B$17)</x:f>
        <x:v>27.6</x:v>
      </x:c>
      <x:c r="G19" s="41" t="n">
        <x:f>D19*(1+'01_核心假设'!$B$17)</x:f>
        <x:v>32.400000000000006</x:v>
      </x:c>
      <x:c r="H19" s="41" t="n">
        <x:f>F19*(1-'01_核心假设'!$B$15)</x:f>
        <x:v>26.772000000000002</x:v>
      </x:c>
      <x:c r="I19" s="41" t="n">
        <x:f>D19*(1-2*'01_核心假设'!$B$17)</x:f>
        <x:v>25.2</x:v>
      </x:c>
      <x:c r="J19" s="41" t="n">
        <x:f>D19*(1+2*'01_核心假设'!$B$17)</x:f>
        <x:v>34.8</x:v>
      </x:c>
    </x:row>
    <x:row r="20">
      <x:c r="A20" s="30" t="str">
        <x:v>妖丹</x:v>
      </x:c>
      <x:c r="B20" s="30" t="str">
        <x:v>妖兽材料</x:v>
      </x:c>
      <x:c r="C20" s="30" t="n">
        <x:v>2</x:v>
      </x:c>
      <x:c r="D20" s="40" t="n">
        <x:v>90</x:v>
      </x:c>
      <x:c r="E20" s="41" t="n">
        <x:f>D20*'01_核心假设'!$B$16</x:f>
        <x:v>31.499999999999996</x:v>
      </x:c>
      <x:c r="F20" s="41" t="n">
        <x:f>D20*(1-'01_核心假设'!$B$17)</x:f>
        <x:v>82.8</x:v>
      </x:c>
      <x:c r="G20" s="41" t="n">
        <x:f>D20*(1+'01_核心假设'!$B$17)</x:f>
        <x:v>97.2</x:v>
      </x:c>
      <x:c r="H20" s="41" t="n">
        <x:f>F20*(1-'01_核心假设'!$B$15)</x:f>
        <x:v>80.31599999999999</x:v>
      </x:c>
      <x:c r="I20" s="41" t="n">
        <x:f>D20*(1-2*'01_核心假设'!$B$17)</x:f>
        <x:v>75.6</x:v>
      </x:c>
      <x:c r="J20" s="41" t="n">
        <x:f>D20*(1+2*'01_核心假设'!$B$17)</x:f>
        <x:v>104.39999999999999</x:v>
      </x:c>
    </x:row>
    <x:row r="21">
      <x:c r="A21" s="30" t="str">
        <x:v>黑风晶</x:v>
      </x:c>
      <x:c r="B21" s="30" t="str">
        <x:v>秘境材料</x:v>
      </x:c>
      <x:c r="C21" s="30" t="n">
        <x:v>2</x:v>
      </x:c>
      <x:c r="D21" s="40" t="n">
        <x:v>260</x:v>
      </x:c>
      <x:c r="E21" s="41" t="n">
        <x:f>D21*'01_核心假设'!$B$16</x:f>
        <x:v>91</x:v>
      </x:c>
      <x:c r="F21" s="41" t="n">
        <x:f>D21*(1-'01_核心假设'!$B$17)</x:f>
        <x:v>239.20000000000002</x:v>
      </x:c>
      <x:c r="G21" s="41" t="n">
        <x:f>D21*(1+'01_核心假设'!$B$17)</x:f>
        <x:v>280.8</x:v>
      </x:c>
      <x:c r="H21" s="41" t="n">
        <x:f>F21*(1-'01_核心假设'!$B$15)</x:f>
        <x:v>232.024</x:v>
      </x:c>
      <x:c r="I21" s="41" t="n">
        <x:f>D21*(1-2*'01_核心假设'!$B$17)</x:f>
        <x:v>218.4</x:v>
      </x:c>
      <x:c r="J21" s="41" t="n">
        <x:f>D21*(1+2*'01_核心假设'!$B$17)</x:f>
        <x:v>301.59999999999997</x:v>
      </x:c>
    </x:row>
    <x:row r="22">
      <x:c r="A22" s="30" t="str">
        <x:v>秘境残片</x:v>
      </x:c>
      <x:c r="B22" s="30" t="str">
        <x:v>秘境材料</x:v>
      </x:c>
      <x:c r="C22" s="30" t="n">
        <x:v>1</x:v>
      </x:c>
      <x:c r="D22" s="40" t="n">
        <x:v>180</x:v>
      </x:c>
      <x:c r="E22" s="41" t="n">
        <x:f>D22*'01_核心假设'!$B$16</x:f>
        <x:v>62.99999999999999</x:v>
      </x:c>
      <x:c r="F22" s="41" t="n">
        <x:f>D22*(1-'01_核心假设'!$B$17)</x:f>
        <x:v>165.6</x:v>
      </x:c>
      <x:c r="G22" s="41" t="n">
        <x:f>D22*(1+'01_核心假设'!$B$17)</x:f>
        <x:v>194.4</x:v>
      </x:c>
      <x:c r="H22" s="41" t="n">
        <x:f>F22*(1-'01_核心假设'!$B$15)</x:f>
        <x:v>160.63199999999998</x:v>
      </x:c>
      <x:c r="I22" s="41" t="n">
        <x:f>D22*(1-2*'01_核心假设'!$B$17)</x:f>
        <x:v>151.2</x:v>
      </x:c>
      <x:c r="J22" s="41" t="n">
        <x:f>D22*(1+2*'01_核心假设'!$B$17)</x:f>
        <x:v>208.79999999999998</x:v>
      </x:c>
    </x:row>
    <x:row r="23">
      <x:c r="A23" s="30" t="str">
        <x:v>淬炼石</x:v>
      </x:c>
      <x:c r="B23" s="30" t="str">
        <x:v>强化材料</x:v>
      </x:c>
      <x:c r="C23" s="30" t="n">
        <x:v>1</x:v>
      </x:c>
      <x:c r="D23" s="40" t="n">
        <x:v>22</x:v>
      </x:c>
      <x:c r="E23" s="41" t="n">
        <x:f>D23*'01_核心假设'!$B$16</x:f>
        <x:v>7.699999999999999</x:v>
      </x:c>
      <x:c r="F23" s="41" t="n">
        <x:f>D23*(1-'01_核心假设'!$B$17)</x:f>
        <x:v>20.240000000000002</x:v>
      </x:c>
      <x:c r="G23" s="41" t="n">
        <x:f>D23*(1+'01_核心假设'!$B$17)</x:f>
        <x:v>23.76</x:v>
      </x:c>
      <x:c r="H23" s="41" t="n">
        <x:f>F23*(1-'01_核心假设'!$B$15)</x:f>
        <x:v>19.632800000000003</x:v>
      </x:c>
      <x:c r="I23" s="41" t="n">
        <x:f>D23*(1-2*'01_核心假设'!$B$17)</x:f>
        <x:v>18.48</x:v>
      </x:c>
      <x:c r="J23" s="41" t="n">
        <x:f>D23*(1+2*'01_核心假设'!$B$17)</x:f>
        <x:v>25.52</x:v>
      </x:c>
    </x:row>
    <x:row r="24">
      <x:c r="A24" s="30" t="str">
        <x:v>聚气散</x:v>
      </x:c>
      <x:c r="B24" s="30" t="str">
        <x:v>丹药</x:v>
      </x:c>
      <x:c r="C24" s="30" t="n">
        <x:v>1</x:v>
      </x:c>
      <x:c r="D24" s="40" t="n">
        <x:v>8</x:v>
      </x:c>
      <x:c r="E24" s="41" t="n">
        <x:f>D24*'01_核心假设'!$B$16</x:f>
        <x:v>2.8</x:v>
      </x:c>
      <x:c r="F24" s="41" t="n">
        <x:f>D24*(1-'01_核心假设'!$B$17)</x:f>
        <x:v>7.36</x:v>
      </x:c>
      <x:c r="G24" s="41" t="n">
        <x:f>D24*(1+'01_核心假设'!$B$17)</x:f>
        <x:v>8.64</x:v>
      </x:c>
      <x:c r="H24" s="41" t="n">
        <x:f>F24*(1-'01_核心假设'!$B$15)</x:f>
        <x:v>7.1392</x:v>
      </x:c>
      <x:c r="I24" s="41" t="n">
        <x:f>D24*(1-2*'01_核心假设'!$B$17)</x:f>
        <x:v>6.72</x:v>
      </x:c>
      <x:c r="J24" s="41" t="n">
        <x:f>D24*(1+2*'01_核心假设'!$B$17)</x:f>
        <x:v>9.28</x:v>
      </x:c>
    </x:row>
    <x:row r="25">
      <x:c r="A25" s="30" t="str">
        <x:v>聚气丹</x:v>
      </x:c>
      <x:c r="B25" s="30" t="str">
        <x:v>丹药</x:v>
      </x:c>
      <x:c r="C25" s="30" t="n">
        <x:v>1</x:v>
      </x:c>
      <x:c r="D25" s="40" t="n">
        <x:v>28</x:v>
      </x:c>
      <x:c r="E25" s="41" t="n">
        <x:f>D25*'01_核心假设'!$B$16</x:f>
        <x:v>9.799999999999999</x:v>
      </x:c>
      <x:c r="F25" s="41" t="n">
        <x:f>D25*(1-'01_核心假设'!$B$17)</x:f>
        <x:v>25.76</x:v>
      </x:c>
      <x:c r="G25" s="41" t="n">
        <x:f>D25*(1+'01_核心假设'!$B$17)</x:f>
        <x:v>30.240000000000002</x:v>
      </x:c>
      <x:c r="H25" s="41" t="n">
        <x:f>F25*(1-'01_核心假设'!$B$15)</x:f>
        <x:v>24.9872</x:v>
      </x:c>
      <x:c r="I25" s="41" t="n">
        <x:f>D25*(1-2*'01_核心假设'!$B$17)</x:f>
        <x:v>23.52</x:v>
      </x:c>
      <x:c r="J25" s="41" t="n">
        <x:f>D25*(1+2*'01_核心假设'!$B$17)</x:f>
        <x:v>32.48</x:v>
      </x:c>
    </x:row>
    <x:row r="26">
      <x:c r="A26" s="30" t="str">
        <x:v>回春丹</x:v>
      </x:c>
      <x:c r="B26" s="30" t="str">
        <x:v>丹药</x:v>
      </x:c>
      <x:c r="C26" s="30" t="n">
        <x:v>1</x:v>
      </x:c>
      <x:c r="D26" s="40" t="n">
        <x:v>20</x:v>
      </x:c>
      <x:c r="E26" s="41" t="n">
        <x:f>D26*'01_核心假设'!$B$16</x:f>
        <x:v>7</x:v>
      </x:c>
      <x:c r="F26" s="41" t="n">
        <x:f>D26*(1-'01_核心假设'!$B$17)</x:f>
        <x:v>18.400000000000002</x:v>
      </x:c>
      <x:c r="G26" s="41" t="n">
        <x:f>D26*(1+'01_核心假设'!$B$17)</x:f>
        <x:v>21.6</x:v>
      </x:c>
      <x:c r="H26" s="41" t="n">
        <x:f>F26*(1-'01_核心假设'!$B$15)</x:f>
        <x:v>17.848000000000003</x:v>
      </x:c>
      <x:c r="I26" s="41" t="n">
        <x:f>D26*(1-2*'01_核心假设'!$B$17)</x:f>
        <x:v>16.8</x:v>
      </x:c>
      <x:c r="J26" s="41" t="n">
        <x:f>D26*(1+2*'01_核心假设'!$B$17)</x:f>
        <x:v>23.2</x:v>
      </x:c>
    </x:row>
    <x:row r="27">
      <x:c r="A27" s="30" t="str">
        <x:v>益神丹</x:v>
      </x:c>
      <x:c r="B27" s="30" t="str">
        <x:v>丹药</x:v>
      </x:c>
      <x:c r="C27" s="30" t="n">
        <x:v>1</x:v>
      </x:c>
      <x:c r="D27" s="40" t="n">
        <x:v>35</x:v>
      </x:c>
      <x:c r="E27" s="41" t="n">
        <x:f>D27*'01_核心假设'!$B$16</x:f>
        <x:v>12.25</x:v>
      </x:c>
      <x:c r="F27" s="41" t="n">
        <x:f>D27*(1-'01_核心假设'!$B$17)</x:f>
        <x:v>32.2</x:v>
      </x:c>
      <x:c r="G27" s="41" t="n">
        <x:f>D27*(1+'01_核心假设'!$B$17)</x:f>
        <x:v>37.800000000000004</x:v>
      </x:c>
      <x:c r="H27" s="41" t="n">
        <x:f>F27*(1-'01_核心假设'!$B$15)</x:f>
        <x:v>31.234</x:v>
      </x:c>
      <x:c r="I27" s="41" t="n">
        <x:f>D27*(1-2*'01_核心假设'!$B$17)</x:f>
        <x:v>29.4</x:v>
      </x:c>
      <x:c r="J27" s="41" t="n">
        <x:f>D27*(1+2*'01_核心假设'!$B$17)</x:f>
        <x:v>40.599999999999994</x:v>
      </x:c>
    </x:row>
    <x:row r="28">
      <x:c r="A28" s="30" t="str">
        <x:v>采灵丹</x:v>
      </x:c>
      <x:c r="B28" s="30" t="str">
        <x:v>丹药</x:v>
      </x:c>
      <x:c r="C28" s="30" t="n">
        <x:v>1</x:v>
      </x:c>
      <x:c r="D28" s="40" t="n">
        <x:v>40</x:v>
      </x:c>
      <x:c r="E28" s="41" t="n">
        <x:f>D28*'01_核心假设'!$B$16</x:f>
        <x:v>14</x:v>
      </x:c>
      <x:c r="F28" s="41" t="n">
        <x:f>D28*(1-'01_核心假设'!$B$17)</x:f>
        <x:v>36.800000000000004</x:v>
      </x:c>
      <x:c r="G28" s="41" t="n">
        <x:f>D28*(1+'01_核心假设'!$B$17)</x:f>
        <x:v>43.2</x:v>
      </x:c>
      <x:c r="H28" s="41" t="n">
        <x:f>F28*(1-'01_核心假设'!$B$15)</x:f>
        <x:v>35.696000000000005</x:v>
      </x:c>
      <x:c r="I28" s="41" t="n">
        <x:f>D28*(1-2*'01_核心假设'!$B$17)</x:f>
        <x:v>33.6</x:v>
      </x:c>
      <x:c r="J28" s="41" t="n">
        <x:f>D28*(1+2*'01_核心假设'!$B$17)</x:f>
        <x:v>46.4</x:v>
      </x:c>
    </x:row>
    <x:row r="29">
      <x:c r="A29" s="30" t="str">
        <x:v>炼体丹</x:v>
      </x:c>
      <x:c r="B29" s="30" t="str">
        <x:v>丹药</x:v>
      </x:c>
      <x:c r="C29" s="30" t="n">
        <x:v>1</x:v>
      </x:c>
      <x:c r="D29" s="40" t="n">
        <x:v>55</x:v>
      </x:c>
      <x:c r="E29" s="41" t="n">
        <x:f>D29*'01_核心假设'!$B$16</x:f>
        <x:v>19.25</x:v>
      </x:c>
      <x:c r="F29" s="41" t="n">
        <x:f>D29*(1-'01_核心假设'!$B$17)</x:f>
        <x:v>50.6</x:v>
      </x:c>
      <x:c r="G29" s="41" t="n">
        <x:f>D29*(1+'01_核心假设'!$B$17)</x:f>
        <x:v>59.400000000000006</x:v>
      </x:c>
      <x:c r="H29" s="41" t="n">
        <x:f>F29*(1-'01_核心假设'!$B$15)</x:f>
        <x:v>49.082</x:v>
      </x:c>
      <x:c r="I29" s="41" t="n">
        <x:f>D29*(1-2*'01_核心假设'!$B$17)</x:f>
        <x:v>46.199999999999996</x:v>
      </x:c>
      <x:c r="J29" s="41" t="n">
        <x:f>D29*(1+2*'01_核心假设'!$B$17)</x:f>
        <x:v>63.8</x:v>
      </x:c>
    </x:row>
    <x:row r="30">
      <x:c r="A30" s="30" t="str">
        <x:v>护脉丹</x:v>
      </x:c>
      <x:c r="B30" s="30" t="str">
        <x:v>丹药</x:v>
      </x:c>
      <x:c r="C30" s="30" t="n">
        <x:v>1</x:v>
      </x:c>
      <x:c r="D30" s="40" t="n">
        <x:v>95</x:v>
      </x:c>
      <x:c r="E30" s="41" t="n">
        <x:f>D30*'01_核心假设'!$B$16</x:f>
        <x:v>33.25</x:v>
      </x:c>
      <x:c r="F30" s="41" t="n">
        <x:f>D30*(1-'01_核心假设'!$B$17)</x:f>
        <x:v>87.4</x:v>
      </x:c>
      <x:c r="G30" s="41" t="n">
        <x:f>D30*(1+'01_核心假设'!$B$17)</x:f>
        <x:v>102.60000000000001</x:v>
      </x:c>
      <x:c r="H30" s="41" t="n">
        <x:f>F30*(1-'01_核心假设'!$B$15)</x:f>
        <x:v>84.778</x:v>
      </x:c>
      <x:c r="I30" s="41" t="n">
        <x:f>D30*(1-2*'01_核心假设'!$B$17)</x:f>
        <x:v>79.8</x:v>
      </x:c>
      <x:c r="J30" s="41" t="n">
        <x:f>D30*(1+2*'01_核心假设'!$B$17)</x:f>
        <x:v>110.19999999999999</x:v>
      </x:c>
    </x:row>
    <x:row r="31">
      <x:c r="A31" s="30" t="str">
        <x:v>筑基丹</x:v>
      </x:c>
      <x:c r="B31" s="30" t="str">
        <x:v>突破丹</x:v>
      </x:c>
      <x:c r="C31" s="30" t="n">
        <x:v>2</x:v>
      </x:c>
      <x:c r="D31" s="40" t="n">
        <x:v>680</x:v>
      </x:c>
      <x:c r="E31" s="41" t="n">
        <x:f>D31*'01_核心假设'!$B$16</x:f>
        <x:v>237.99999999999997</x:v>
      </x:c>
      <x:c r="F31" s="41" t="n">
        <x:f>D31*(1-'01_核心假设'!$B$17)</x:f>
        <x:v>625.6</x:v>
      </x:c>
      <x:c r="G31" s="41" t="n">
        <x:f>D31*(1+'01_核心假设'!$B$17)</x:f>
        <x:v>734.4000000000001</x:v>
      </x:c>
      <x:c r="H31" s="41" t="n">
        <x:f>F31*(1-'01_核心假设'!$B$15)</x:f>
        <x:v>606.832</x:v>
      </x:c>
      <x:c r="I31" s="41" t="n">
        <x:f>D31*(1-2*'01_核心假设'!$B$17)</x:f>
        <x:v>571.1999999999999</x:v>
      </x:c>
      <x:c r="J31" s="41" t="n">
        <x:f>D31*(1+2*'01_核心假设'!$B$17)</x:f>
        <x:v>788.8</x:v>
      </x:c>
    </x:row>
    <x:row r="32">
      <x:c r="A32" s="30" t="str">
        <x:v>凝元丹</x:v>
      </x:c>
      <x:c r="B32" s="30" t="str">
        <x:v>丹药</x:v>
      </x:c>
      <x:c r="C32" s="30" t="n">
        <x:v>2</x:v>
      </x:c>
      <x:c r="D32" s="40" t="n">
        <x:v>120</x:v>
      </x:c>
      <x:c r="E32" s="41" t="n">
        <x:f>D32*'01_核心假设'!$B$16</x:f>
        <x:v>42</x:v>
      </x:c>
      <x:c r="F32" s="41" t="n">
        <x:f>D32*(1-'01_核心假设'!$B$17)</x:f>
        <x:v>110.4</x:v>
      </x:c>
      <x:c r="G32" s="41" t="n">
        <x:f>D32*(1+'01_核心假设'!$B$17)</x:f>
        <x:v>129.60000000000002</x:v>
      </x:c>
      <x:c r="H32" s="41" t="n">
        <x:f>F32*(1-'01_核心假设'!$B$15)</x:f>
        <x:v>107.08800000000001</x:v>
      </x:c>
      <x:c r="I32" s="41" t="n">
        <x:f>D32*(1-2*'01_核心假设'!$B$17)</x:f>
        <x:v>100.8</x:v>
      </x:c>
      <x:c r="J32" s="41" t="n">
        <x:f>D32*(1+2*'01_核心假设'!$B$17)</x:f>
        <x:v>139.2</x:v>
      </x:c>
    </x:row>
    <x:row r="33">
      <x:c r="A33" s="30" t="str">
        <x:v>木柄药锄</x:v>
      </x:c>
      <x:c r="B33" s="30" t="str">
        <x:v>工具</x:v>
      </x:c>
      <x:c r="C33" s="30" t="n">
        <x:v>1</x:v>
      </x:c>
      <x:c r="D33" s="40" t="n">
        <x:v>20</x:v>
      </x:c>
      <x:c r="E33" s="41" t="n">
        <x:f>D33*'01_核心假设'!$B$16</x:f>
        <x:v>7</x:v>
      </x:c>
      <x:c r="F33" s="41" t="n">
        <x:f>D33*(1-'01_核心假设'!$B$17)</x:f>
        <x:v>18.400000000000002</x:v>
      </x:c>
      <x:c r="G33" s="41" t="n">
        <x:f>D33*(1+'01_核心假设'!$B$17)</x:f>
        <x:v>21.6</x:v>
      </x:c>
      <x:c r="H33" s="41" t="n">
        <x:f>F33*(1-'01_核心假设'!$B$15)</x:f>
        <x:v>17.848000000000003</x:v>
      </x:c>
      <x:c r="I33" s="41" t="n">
        <x:f>D33*(1-2*'01_核心假设'!$B$17)</x:f>
        <x:v>16.8</x:v>
      </x:c>
      <x:c r="J33" s="41" t="n">
        <x:f>D33*(1+2*'01_核心假设'!$B$17)</x:f>
        <x:v>23.2</x:v>
      </x:c>
    </x:row>
    <x:row r="34">
      <x:c r="A34" s="30" t="str">
        <x:v>青铜药锄</x:v>
      </x:c>
      <x:c r="B34" s="30" t="str">
        <x:v>工具</x:v>
      </x:c>
      <x:c r="C34" s="30" t="n">
        <x:v>1</x:v>
      </x:c>
      <x:c r="D34" s="40" t="n">
        <x:v>140</x:v>
      </x:c>
      <x:c r="E34" s="41" t="n">
        <x:f>D34*'01_核心假设'!$B$16</x:f>
        <x:v>49</x:v>
      </x:c>
      <x:c r="F34" s="41" t="n">
        <x:f>D34*(1-'01_核心假设'!$B$17)</x:f>
        <x:v>128.8</x:v>
      </x:c>
      <x:c r="G34" s="41" t="n">
        <x:f>D34*(1+'01_核心假设'!$B$17)</x:f>
        <x:v>151.20000000000002</x:v>
      </x:c>
      <x:c r="H34" s="41" t="n">
        <x:f>F34*(1-'01_核心假设'!$B$15)</x:f>
        <x:v>124.936</x:v>
      </x:c>
      <x:c r="I34" s="41" t="n">
        <x:f>D34*(1-2*'01_核心假设'!$B$17)</x:f>
        <x:v>117.6</x:v>
      </x:c>
      <x:c r="J34" s="41" t="n">
        <x:f>D34*(1+2*'01_核心假设'!$B$17)</x:f>
        <x:v>162.39999999999998</x:v>
      </x:c>
    </x:row>
    <x:row r="35">
      <x:c r="A35" s="30" t="str">
        <x:v>玄铁药锄</x:v>
      </x:c>
      <x:c r="B35" s="30" t="str">
        <x:v>工具</x:v>
      </x:c>
      <x:c r="C35" s="30" t="n">
        <x:v>1</x:v>
      </x:c>
      <x:c r="D35" s="40" t="n">
        <x:v>480</x:v>
      </x:c>
      <x:c r="E35" s="41" t="n">
        <x:f>D35*'01_核心假设'!$B$16</x:f>
        <x:v>168</x:v>
      </x:c>
      <x:c r="F35" s="41" t="n">
        <x:f>D35*(1-'01_核心假设'!$B$17)</x:f>
        <x:v>441.6</x:v>
      </x:c>
      <x:c r="G35" s="41" t="n">
        <x:f>D35*(1+'01_核心假设'!$B$17)</x:f>
        <x:v>518.4000000000001</x:v>
      </x:c>
      <x:c r="H35" s="41" t="n">
        <x:f>F35*(1-'01_核心假设'!$B$15)</x:f>
        <x:v>428.35200000000003</x:v>
      </x:c>
      <x:c r="I35" s="41" t="n">
        <x:f>D35*(1-2*'01_核心假设'!$B$17)</x:f>
        <x:v>403.2</x:v>
      </x:c>
      <x:c r="J35" s="41" t="n">
        <x:f>D35*(1+2*'01_核心假设'!$B$17)</x:f>
        <x:v>556.8</x:v>
      </x:c>
    </x:row>
    <x:row r="36">
      <x:c r="A36" s="30" t="str">
        <x:v>灵玉药锄</x:v>
      </x:c>
      <x:c r="B36" s="30" t="str">
        <x:v>工具</x:v>
      </x:c>
      <x:c r="C36" s="30" t="n">
        <x:v>2</x:v>
      </x:c>
      <x:c r="D36" s="40" t="n">
        <x:v>1400</x:v>
      </x:c>
      <x:c r="E36" s="41" t="n">
        <x:f>D36*'01_核心假设'!$B$16</x:f>
        <x:v>489.99999999999994</x:v>
      </x:c>
      <x:c r="F36" s="41" t="n">
        <x:f>D36*(1-'01_核心假设'!$B$17)</x:f>
        <x:v>1288</x:v>
      </x:c>
      <x:c r="G36" s="41" t="n">
        <x:f>D36*(1+'01_核心假设'!$B$17)</x:f>
        <x:v>1512</x:v>
      </x:c>
      <x:c r="H36" s="41" t="n">
        <x:f>F36*(1-'01_核心假设'!$B$15)</x:f>
        <x:v>1249.36</x:v>
      </x:c>
      <x:c r="I36" s="41" t="n">
        <x:f>D36*(1-2*'01_核心假设'!$B$17)</x:f>
        <x:v>1176</x:v>
      </x:c>
      <x:c r="J36" s="41" t="n">
        <x:f>D36*(1+2*'01_核心假设'!$B$17)</x:f>
        <x:v>1624</x:v>
      </x:c>
    </x:row>
    <x:row r="37">
      <x:c r="A37" s="30" t="str">
        <x:v>筑基灵锄</x:v>
      </x:c>
      <x:c r="B37" s="30" t="str">
        <x:v>工具</x:v>
      </x:c>
      <x:c r="C37" s="30" t="n">
        <x:v>2</x:v>
      </x:c>
      <x:c r="D37" s="40" t="n">
        <x:v>4500</x:v>
      </x:c>
      <x:c r="E37" s="41" t="n">
        <x:f>D37*'01_核心假设'!$B$16</x:f>
        <x:v>1575</x:v>
      </x:c>
      <x:c r="F37" s="41" t="n">
        <x:f>D37*(1-'01_核心假设'!$B$17)</x:f>
        <x:v>4140</x:v>
      </x:c>
      <x:c r="G37" s="41" t="n">
        <x:f>D37*(1+'01_核心假设'!$B$17)</x:f>
        <x:v>4860</x:v>
      </x:c>
      <x:c r="H37" s="41" t="n">
        <x:f>F37*(1-'01_核心假设'!$B$15)</x:f>
        <x:v>4015.7999999999997</x:v>
      </x:c>
      <x:c r="I37" s="41" t="n">
        <x:f>D37*(1-2*'01_核心假设'!$B$17)</x:f>
        <x:v>3780</x:v>
      </x:c>
      <x:c r="J37" s="41" t="n">
        <x:f>D37*(1+2*'01_核心假设'!$B$17)</x:f>
        <x:v>5220</x:v>
      </x:c>
    </x:row>
    <x:row r="38">
      <x:c r="A38" s="30" t="str">
        <x:v>木柄矿镐</x:v>
      </x:c>
      <x:c r="B38" s="30" t="str">
        <x:v>工具</x:v>
      </x:c>
      <x:c r="C38" s="30" t="n">
        <x:v>1</x:v>
      </x:c>
      <x:c r="D38" s="40" t="n">
        <x:v>20</x:v>
      </x:c>
      <x:c r="E38" s="41" t="n">
        <x:f>D38*'01_核心假设'!$B$16</x:f>
        <x:v>7</x:v>
      </x:c>
      <x:c r="F38" s="41" t="n">
        <x:f>D38*(1-'01_核心假设'!$B$17)</x:f>
        <x:v>18.400000000000002</x:v>
      </x:c>
      <x:c r="G38" s="41" t="n">
        <x:f>D38*(1+'01_核心假设'!$B$17)</x:f>
        <x:v>21.6</x:v>
      </x:c>
      <x:c r="H38" s="41" t="n">
        <x:f>F38*(1-'01_核心假设'!$B$15)</x:f>
        <x:v>17.848000000000003</x:v>
      </x:c>
      <x:c r="I38" s="41" t="n">
        <x:f>D38*(1-2*'01_核心假设'!$B$17)</x:f>
        <x:v>16.8</x:v>
      </x:c>
      <x:c r="J38" s="41" t="n">
        <x:f>D38*(1+2*'01_核心假设'!$B$17)</x:f>
        <x:v>23.2</x:v>
      </x:c>
    </x:row>
    <x:row r="39">
      <x:c r="A39" s="30" t="str">
        <x:v>青铜矿镐</x:v>
      </x:c>
      <x:c r="B39" s="30" t="str">
        <x:v>工具</x:v>
      </x:c>
      <x:c r="C39" s="30" t="n">
        <x:v>1</x:v>
      </x:c>
      <x:c r="D39" s="40" t="n">
        <x:v>150</x:v>
      </x:c>
      <x:c r="E39" s="41" t="n">
        <x:f>D39*'01_核心假设'!$B$16</x:f>
        <x:v>52.5</x:v>
      </x:c>
      <x:c r="F39" s="41" t="n">
        <x:f>D39*(1-'01_核心假设'!$B$17)</x:f>
        <x:v>138</x:v>
      </x:c>
      <x:c r="G39" s="41" t="n">
        <x:f>D39*(1+'01_核心假设'!$B$17)</x:f>
        <x:v>162</x:v>
      </x:c>
      <x:c r="H39" s="41" t="n">
        <x:f>F39*(1-'01_核心假设'!$B$15)</x:f>
        <x:v>133.85999999999999</x:v>
      </x:c>
      <x:c r="I39" s="41" t="n">
        <x:f>D39*(1-2*'01_核心假设'!$B$17)</x:f>
        <x:v>126</x:v>
      </x:c>
      <x:c r="J39" s="41" t="n">
        <x:f>D39*(1+2*'01_核心假设'!$B$17)</x:f>
        <x:v>174</x:v>
      </x:c>
    </x:row>
    <x:row r="40">
      <x:c r="A40" s="30" t="str">
        <x:v>玄铁矿镐</x:v>
      </x:c>
      <x:c r="B40" s="30" t="str">
        <x:v>工具</x:v>
      </x:c>
      <x:c r="C40" s="30" t="n">
        <x:v>1</x:v>
      </x:c>
      <x:c r="D40" s="40" t="n">
        <x:v>520</x:v>
      </x:c>
      <x:c r="E40" s="41" t="n">
        <x:f>D40*'01_核心假设'!$B$16</x:f>
        <x:v>182</x:v>
      </x:c>
      <x:c r="F40" s="41" t="n">
        <x:f>D40*(1-'01_核心假设'!$B$17)</x:f>
        <x:v>478.40000000000003</x:v>
      </x:c>
      <x:c r="G40" s="41" t="n">
        <x:f>D40*(1+'01_核心假设'!$B$17)</x:f>
        <x:v>561.6</x:v>
      </x:c>
      <x:c r="H40" s="41" t="n">
        <x:f>F40*(1-'01_核心假设'!$B$15)</x:f>
        <x:v>464.048</x:v>
      </x:c>
      <x:c r="I40" s="41" t="n">
        <x:f>D40*(1-2*'01_核心假设'!$B$17)</x:f>
        <x:v>436.8</x:v>
      </x:c>
      <x:c r="J40" s="41" t="n">
        <x:f>D40*(1+2*'01_核心假设'!$B$17)</x:f>
        <x:v>603.1999999999999</x:v>
      </x:c>
    </x:row>
    <x:row r="41">
      <x:c r="A41" s="30" t="str">
        <x:v>灵玉矿镐</x:v>
      </x:c>
      <x:c r="B41" s="30" t="str">
        <x:v>工具</x:v>
      </x:c>
      <x:c r="C41" s="30" t="n">
        <x:v>2</x:v>
      </x:c>
      <x:c r="D41" s="40" t="n">
        <x:v>1500</x:v>
      </x:c>
      <x:c r="E41" s="41" t="n">
        <x:f>D41*'01_核心假设'!$B$16</x:f>
        <x:v>525</x:v>
      </x:c>
      <x:c r="F41" s="41" t="n">
        <x:f>D41*(1-'01_核心假设'!$B$17)</x:f>
        <x:v>1380</x:v>
      </x:c>
      <x:c r="G41" s="41" t="n">
        <x:f>D41*(1+'01_核心假设'!$B$17)</x:f>
        <x:v>1620</x:v>
      </x:c>
      <x:c r="H41" s="41" t="n">
        <x:f>F41*(1-'01_核心假设'!$B$15)</x:f>
        <x:v>1338.6</x:v>
      </x:c>
      <x:c r="I41" s="41" t="n">
        <x:f>D41*(1-2*'01_核心假设'!$B$17)</x:f>
        <x:v>1260</x:v>
      </x:c>
      <x:c r="J41" s="41" t="n">
        <x:f>D41*(1+2*'01_核心假设'!$B$17)</x:f>
        <x:v>1739.9999999999998</x:v>
      </x:c>
    </x:row>
    <x:row r="42">
      <x:c r="A42" s="30" t="str">
        <x:v>筑基灵镐</x:v>
      </x:c>
      <x:c r="B42" s="30" t="str">
        <x:v>工具</x:v>
      </x:c>
      <x:c r="C42" s="30" t="n">
        <x:v>2</x:v>
      </x:c>
      <x:c r="D42" s="40" t="n">
        <x:v>4800</x:v>
      </x:c>
      <x:c r="E42" s="41" t="n">
        <x:f>D42*'01_核心假设'!$B$16</x:f>
        <x:v>1680</x:v>
      </x:c>
      <x:c r="F42" s="41" t="n">
        <x:f>D42*(1-'01_核心假设'!$B$17)</x:f>
        <x:v>4416</x:v>
      </x:c>
      <x:c r="G42" s="41" t="n">
        <x:f>D42*(1+'01_核心假设'!$B$17)</x:f>
        <x:v>5184</x:v>
      </x:c>
      <x:c r="H42" s="41" t="n">
        <x:f>F42*(1-'01_核心假设'!$B$15)</x:f>
        <x:v>4283.5199999999995</x:v>
      </x:c>
      <x:c r="I42" s="41" t="n">
        <x:f>D42*(1-2*'01_核心假设'!$B$17)</x:f>
        <x:v>4032</x:v>
      </x:c>
      <x:c r="J42" s="41" t="n">
        <x:f>D42*(1+2*'01_核心假设'!$B$17)</x:f>
        <x:v>5568</x:v>
      </x:c>
    </x:row>
    <x:row r="43">
      <x:c r="A43" s="30" t="str">
        <x:v>粗制丹炉</x:v>
      </x:c>
      <x:c r="B43" s="30" t="str">
        <x:v>工具</x:v>
      </x:c>
      <x:c r="C43" s="30" t="n">
        <x:v>1</x:v>
      </x:c>
      <x:c r="D43" s="40" t="n">
        <x:v>60</x:v>
      </x:c>
      <x:c r="E43" s="41" t="n">
        <x:f>D43*'01_核心假设'!$B$16</x:f>
        <x:v>21</x:v>
      </x:c>
      <x:c r="F43" s="41" t="n">
        <x:f>D43*(1-'01_核心假设'!$B$17)</x:f>
        <x:v>55.2</x:v>
      </x:c>
      <x:c r="G43" s="41" t="n">
        <x:f>D43*(1+'01_核心假设'!$B$17)</x:f>
        <x:v>64.80000000000001</x:v>
      </x:c>
      <x:c r="H43" s="41" t="n">
        <x:f>F43*(1-'01_核心假设'!$B$15)</x:f>
        <x:v>53.544000000000004</x:v>
      </x:c>
      <x:c r="I43" s="41" t="n">
        <x:f>D43*(1-2*'01_核心假设'!$B$17)</x:f>
        <x:v>50.4</x:v>
      </x:c>
      <x:c r="J43" s="41" t="n">
        <x:f>D43*(1+2*'01_核心假设'!$B$17)</x:f>
        <x:v>69.6</x:v>
      </x:c>
    </x:row>
    <x:row r="44">
      <x:c r="A44" s="30" t="str">
        <x:v>青铜丹炉</x:v>
      </x:c>
      <x:c r="B44" s="30" t="str">
        <x:v>工具</x:v>
      </x:c>
      <x:c r="C44" s="30" t="n">
        <x:v>1</x:v>
      </x:c>
      <x:c r="D44" s="40" t="n">
        <x:v>380</x:v>
      </x:c>
      <x:c r="E44" s="41" t="n">
        <x:f>D44*'01_核心假设'!$B$16</x:f>
        <x:v>133</x:v>
      </x:c>
      <x:c r="F44" s="41" t="n">
        <x:f>D44*(1-'01_核心假设'!$B$17)</x:f>
        <x:v>349.6</x:v>
      </x:c>
      <x:c r="G44" s="41" t="n">
        <x:f>D44*(1+'01_核心假设'!$B$17)</x:f>
        <x:v>410.40000000000003</x:v>
      </x:c>
      <x:c r="H44" s="41" t="n">
        <x:f>F44*(1-'01_核心假设'!$B$15)</x:f>
        <x:v>339.112</x:v>
      </x:c>
      <x:c r="I44" s="41" t="n">
        <x:f>D44*(1-2*'01_核心假设'!$B$17)</x:f>
        <x:v>319.2</x:v>
      </x:c>
      <x:c r="J44" s="41" t="n">
        <x:f>D44*(1+2*'01_核心假设'!$B$17)</x:f>
        <x:v>440.79999999999995</x:v>
      </x:c>
    </x:row>
    <x:row r="45">
      <x:c r="A45" s="30" t="str">
        <x:v>玄火丹炉</x:v>
      </x:c>
      <x:c r="B45" s="30" t="str">
        <x:v>工具</x:v>
      </x:c>
      <x:c r="C45" s="30" t="n">
        <x:v>1</x:v>
      </x:c>
      <x:c r="D45" s="40" t="n">
        <x:v>1200</x:v>
      </x:c>
      <x:c r="E45" s="41" t="n">
        <x:f>D45*'01_核心假设'!$B$16</x:f>
        <x:v>420</x:v>
      </x:c>
      <x:c r="F45" s="41" t="n">
        <x:f>D45*(1-'01_核心假设'!$B$17)</x:f>
        <x:v>1104</x:v>
      </x:c>
      <x:c r="G45" s="41" t="n">
        <x:f>D45*(1+'01_核心假设'!$B$17)</x:f>
        <x:v>1296</x:v>
      </x:c>
      <x:c r="H45" s="41" t="n">
        <x:f>F45*(1-'01_核心假设'!$B$15)</x:f>
        <x:v>1070.8799999999999</x:v>
      </x:c>
      <x:c r="I45" s="41" t="n">
        <x:f>D45*(1-2*'01_核心假设'!$B$17)</x:f>
        <x:v>1008</x:v>
      </x:c>
      <x:c r="J45" s="41" t="n">
        <x:f>D45*(1+2*'01_核心假设'!$B$17)</x:f>
        <x:v>1392</x:v>
      </x:c>
    </x:row>
    <x:row r="46">
      <x:c r="A46" s="30" t="str">
        <x:v>筑基丹炉</x:v>
      </x:c>
      <x:c r="B46" s="30" t="str">
        <x:v>工具</x:v>
      </x:c>
      <x:c r="C46" s="30" t="n">
        <x:v>2</x:v>
      </x:c>
      <x:c r="D46" s="40" t="n">
        <x:v>4200</x:v>
      </x:c>
      <x:c r="E46" s="41" t="n">
        <x:f>D46*'01_核心假设'!$B$16</x:f>
        <x:v>1470</x:v>
      </x:c>
      <x:c r="F46" s="41" t="n">
        <x:f>D46*(1-'01_核心假设'!$B$17)</x:f>
        <x:v>3864</x:v>
      </x:c>
      <x:c r="G46" s="41" t="n">
        <x:f>D46*(1+'01_核心假设'!$B$17)</x:f>
        <x:v>4536</x:v>
      </x:c>
      <x:c r="H46" s="41" t="n">
        <x:f>F46*(1-'01_核心假设'!$B$15)</x:f>
        <x:v>3748.08</x:v>
      </x:c>
      <x:c r="I46" s="41" t="n">
        <x:f>D46*(1-2*'01_核心假设'!$B$17)</x:f>
        <x:v>3528</x:v>
      </x:c>
      <x:c r="J46" s="41" t="n">
        <x:f>D46*(1+2*'01_核心假设'!$B$17)</x:f>
        <x:v>4872</x:v>
      </x:c>
    </x:row>
    <x:row r="47">
      <x:c r="A47" s="30" t="str">
        <x:v>粗制剑</x:v>
      </x:c>
      <x:c r="B47" s="30" t="str">
        <x:v>武器</x:v>
      </x:c>
      <x:c r="C47" s="30" t="n">
        <x:v>1</x:v>
      </x:c>
      <x:c r="D47" s="40" t="n">
        <x:v>50</x:v>
      </x:c>
      <x:c r="E47" s="41" t="n">
        <x:f>D47*'01_核心假设'!$B$16</x:f>
        <x:v>17.5</x:v>
      </x:c>
      <x:c r="F47" s="41" t="n">
        <x:f>D47*(1-'01_核心假设'!$B$17)</x:f>
        <x:v>46</x:v>
      </x:c>
      <x:c r="G47" s="41" t="n">
        <x:f>D47*(1+'01_核心假设'!$B$17)</x:f>
        <x:v>54</x:v>
      </x:c>
      <x:c r="H47" s="41" t="n">
        <x:f>F47*(1-'01_核心假设'!$B$15)</x:f>
        <x:v>44.62</x:v>
      </x:c>
      <x:c r="I47" s="41" t="n">
        <x:f>D47*(1-2*'01_核心假设'!$B$17)</x:f>
        <x:v>42</x:v>
      </x:c>
      <x:c r="J47" s="41" t="n">
        <x:f>D47*(1+2*'01_核心假设'!$B$17)</x:f>
        <x:v>57.99999999999999</x:v>
      </x:c>
    </x:row>
    <x:row r="48">
      <x:c r="A48" s="30" t="str">
        <x:v>青铜剑</x:v>
      </x:c>
      <x:c r="B48" s="30" t="str">
        <x:v>武器</x:v>
      </x:c>
      <x:c r="C48" s="30" t="n">
        <x:v>1</x:v>
      </x:c>
      <x:c r="D48" s="40" t="n">
        <x:v>260</x:v>
      </x:c>
      <x:c r="E48" s="41" t="n">
        <x:f>D48*'01_核心假设'!$B$16</x:f>
        <x:v>91</x:v>
      </x:c>
      <x:c r="F48" s="41" t="n">
        <x:f>D48*(1-'01_核心假设'!$B$17)</x:f>
        <x:v>239.20000000000002</x:v>
      </x:c>
      <x:c r="G48" s="41" t="n">
        <x:f>D48*(1+'01_核心假设'!$B$17)</x:f>
        <x:v>280.8</x:v>
      </x:c>
      <x:c r="H48" s="41" t="n">
        <x:f>F48*(1-'01_核心假设'!$B$15)</x:f>
        <x:v>232.024</x:v>
      </x:c>
      <x:c r="I48" s="41" t="n">
        <x:f>D48*(1-2*'01_核心假设'!$B$17)</x:f>
        <x:v>218.4</x:v>
      </x:c>
      <x:c r="J48" s="41" t="n">
        <x:f>D48*(1+2*'01_核心假设'!$B$17)</x:f>
        <x:v>301.59999999999997</x:v>
      </x:c>
    </x:row>
    <x:row r="49">
      <x:c r="A49" s="30" t="str">
        <x:v>玄铁剑</x:v>
      </x:c>
      <x:c r="B49" s="30" t="str">
        <x:v>武器</x:v>
      </x:c>
      <x:c r="C49" s="30" t="n">
        <x:v>1</x:v>
      </x:c>
      <x:c r="D49" s="40" t="n">
        <x:v>900</x:v>
      </x:c>
      <x:c r="E49" s="41" t="n">
        <x:f>D49*'01_核心假设'!$B$16</x:f>
        <x:v>315</x:v>
      </x:c>
      <x:c r="F49" s="41" t="n">
        <x:f>D49*(1-'01_核心假设'!$B$17)</x:f>
        <x:v>828</x:v>
      </x:c>
      <x:c r="G49" s="41" t="n">
        <x:f>D49*(1+'01_核心假设'!$B$17)</x:f>
        <x:v>972.0000000000001</x:v>
      </x:c>
      <x:c r="H49" s="41" t="n">
        <x:f>F49*(1-'01_核心假设'!$B$15)</x:f>
        <x:v>803.16</x:v>
      </x:c>
      <x:c r="I49" s="41" t="n">
        <x:f>D49*(1-2*'01_核心假设'!$B$17)</x:f>
        <x:v>756</x:v>
      </x:c>
      <x:c r="J49" s="41" t="n">
        <x:f>D49*(1+2*'01_核心假设'!$B$17)</x:f>
        <x:v>1044</x:v>
      </x:c>
    </x:row>
    <x:row r="50">
      <x:c r="A50" s="30" t="str">
        <x:v>灵玉剑</x:v>
      </x:c>
      <x:c r="B50" s="30" t="str">
        <x:v>武器</x:v>
      </x:c>
      <x:c r="C50" s="30" t="n">
        <x:v>2</x:v>
      </x:c>
      <x:c r="D50" s="40" t="n">
        <x:v>2800</x:v>
      </x:c>
      <x:c r="E50" s="41" t="n">
        <x:f>D50*'01_核心假设'!$B$16</x:f>
        <x:v>979.9999999999999</x:v>
      </x:c>
      <x:c r="F50" s="41" t="n">
        <x:f>D50*(1-'01_核心假设'!$B$17)</x:f>
        <x:v>2576</x:v>
      </x:c>
      <x:c r="G50" s="41" t="n">
        <x:f>D50*(1+'01_核心假设'!$B$17)</x:f>
        <x:v>3024</x:v>
      </x:c>
      <x:c r="H50" s="41" t="n">
        <x:f>F50*(1-'01_核心假设'!$B$15)</x:f>
        <x:v>2498.72</x:v>
      </x:c>
      <x:c r="I50" s="41" t="n">
        <x:f>D50*(1-2*'01_核心假设'!$B$17)</x:f>
        <x:v>2352</x:v>
      </x:c>
      <x:c r="J50" s="41" t="n">
        <x:f>D50*(1+2*'01_核心假设'!$B$17)</x:f>
        <x:v>3248</x:v>
      </x:c>
    </x:row>
    <x:row r="51">
      <x:c r="A51" s="30" t="str">
        <x:v>筑基飞剑</x:v>
      </x:c>
      <x:c r="B51" s="30" t="str">
        <x:v>武器</x:v>
      </x:c>
      <x:c r="C51" s="30" t="n">
        <x:v>2</x:v>
      </x:c>
      <x:c r="D51" s="40" t="n">
        <x:v>8500</x:v>
      </x:c>
      <x:c r="E51" s="41" t="n">
        <x:f>D51*'01_核心假设'!$B$16</x:f>
        <x:v>2975</x:v>
      </x:c>
      <x:c r="F51" s="41" t="n">
        <x:f>D51*(1-'01_核心假设'!$B$17)</x:f>
        <x:v>7820</x:v>
      </x:c>
      <x:c r="G51" s="41" t="n">
        <x:f>D51*(1+'01_核心假设'!$B$17)</x:f>
        <x:v>9180</x:v>
      </x:c>
      <x:c r="H51" s="41" t="n">
        <x:f>F51*(1-'01_核心假设'!$B$15)</x:f>
        <x:v>7585.4</x:v>
      </x:c>
      <x:c r="I51" s="41" t="n">
        <x:f>D51*(1-2*'01_核心假设'!$B$17)</x:f>
        <x:v>7140</x:v>
      </x:c>
      <x:c r="J51" s="41" t="n">
        <x:f>D51*(1+2*'01_核心假设'!$B$17)</x:f>
        <x:v>9860</x:v>
      </x:c>
    </x:row>
    <x:row r="52">
      <x:c r="A52" s="30" t="str">
        <x:v>黑风剑</x:v>
      </x:c>
      <x:c r="B52" s="30" t="str">
        <x:v>武器</x:v>
      </x:c>
      <x:c r="C52" s="30" t="n">
        <x:v>2</x:v>
      </x:c>
      <x:c r="D52" s="40" t="n">
        <x:v>12000</x:v>
      </x:c>
      <x:c r="E52" s="41" t="n">
        <x:f>D52*'01_核心假设'!$B$16</x:f>
        <x:v>4200</x:v>
      </x:c>
      <x:c r="F52" s="41" t="n">
        <x:f>D52*(1-'01_核心假设'!$B$17)</x:f>
        <x:v>11040</x:v>
      </x:c>
      <x:c r="G52" s="41" t="n">
        <x:f>D52*(1+'01_核心假设'!$B$17)</x:f>
        <x:v>12960</x:v>
      </x:c>
      <x:c r="H52" s="41" t="n">
        <x:f>F52*(1-'01_核心假设'!$B$15)</x:f>
        <x:v>10708.8</x:v>
      </x:c>
      <x:c r="I52" s="41" t="n">
        <x:f>D52*(1-2*'01_核心假设'!$B$17)</x:f>
        <x:v>10080</x:v>
      </x:c>
      <x:c r="J52" s="41" t="n">
        <x:f>D52*(1+2*'01_核心假设'!$B$17)</x:f>
        <x:v>13919.999999999998</x:v>
      </x:c>
    </x:row>
    <x:row r="53">
      <x:c r="A53" s="30" t="str">
        <x:v>布衣</x:v>
      </x:c>
      <x:c r="B53" s="30" t="str">
        <x:v>防具</x:v>
      </x:c>
      <x:c r="C53" s="30" t="n">
        <x:v>1</x:v>
      </x:c>
      <x:c r="D53" s="40" t="n">
        <x:v>30</x:v>
      </x:c>
      <x:c r="E53" s="41" t="n">
        <x:f>D53*'01_核心假设'!$B$16</x:f>
        <x:v>10.5</x:v>
      </x:c>
      <x:c r="F53" s="41" t="n">
        <x:f>D53*(1-'01_核心假设'!$B$17)</x:f>
        <x:v>27.6</x:v>
      </x:c>
      <x:c r="G53" s="41" t="n">
        <x:f>D53*(1+'01_核心假设'!$B$17)</x:f>
        <x:v>32.400000000000006</x:v>
      </x:c>
      <x:c r="H53" s="41" t="n">
        <x:f>F53*(1-'01_核心假设'!$B$15)</x:f>
        <x:v>26.772000000000002</x:v>
      </x:c>
      <x:c r="I53" s="41" t="n">
        <x:f>D53*(1-2*'01_核心假设'!$B$17)</x:f>
        <x:v>25.2</x:v>
      </x:c>
      <x:c r="J53" s="41" t="n">
        <x:f>D53*(1+2*'01_核心假设'!$B$17)</x:f>
        <x:v>34.8</x:v>
      </x:c>
    </x:row>
    <x:row r="54">
      <x:c r="A54" s="30" t="str">
        <x:v>青铜甲</x:v>
      </x:c>
      <x:c r="B54" s="30" t="str">
        <x:v>防具</x:v>
      </x:c>
      <x:c r="C54" s="30" t="n">
        <x:v>1</x:v>
      </x:c>
      <x:c r="D54" s="40" t="n">
        <x:v>240</x:v>
      </x:c>
      <x:c r="E54" s="41" t="n">
        <x:f>D54*'01_核心假设'!$B$16</x:f>
        <x:v>84</x:v>
      </x:c>
      <x:c r="F54" s="41" t="n">
        <x:f>D54*(1-'01_核心假设'!$B$17)</x:f>
        <x:v>220.8</x:v>
      </x:c>
      <x:c r="G54" s="41" t="n">
        <x:f>D54*(1+'01_核心假设'!$B$17)</x:f>
        <x:v>259.20000000000005</x:v>
      </x:c>
      <x:c r="H54" s="41" t="n">
        <x:f>F54*(1-'01_核心假设'!$B$15)</x:f>
        <x:v>214.17600000000002</x:v>
      </x:c>
      <x:c r="I54" s="41" t="n">
        <x:f>D54*(1-2*'01_核心假设'!$B$17)</x:f>
        <x:v>201.6</x:v>
      </x:c>
      <x:c r="J54" s="41" t="n">
        <x:f>D54*(1+2*'01_核心假设'!$B$17)</x:f>
        <x:v>278.4</x:v>
      </x:c>
    </x:row>
    <x:row r="55">
      <x:c r="A55" s="30" t="str">
        <x:v>玄铁甲</x:v>
      </x:c>
      <x:c r="B55" s="30" t="str">
        <x:v>防具</x:v>
      </x:c>
      <x:c r="C55" s="30" t="n">
        <x:v>1</x:v>
      </x:c>
      <x:c r="D55" s="40" t="n">
        <x:v>850</x:v>
      </x:c>
      <x:c r="E55" s="41" t="n">
        <x:f>D55*'01_核心假设'!$B$16</x:f>
        <x:v>297.5</x:v>
      </x:c>
      <x:c r="F55" s="41" t="n">
        <x:f>D55*(1-'01_核心假设'!$B$17)</x:f>
        <x:v>782</x:v>
      </x:c>
      <x:c r="G55" s="41" t="n">
        <x:f>D55*(1+'01_核心假设'!$B$17)</x:f>
        <x:v>918.0000000000001</x:v>
      </x:c>
      <x:c r="H55" s="41" t="n">
        <x:f>F55*(1-'01_核心假设'!$B$15)</x:f>
        <x:v>758.54</x:v>
      </x:c>
      <x:c r="I55" s="41" t="n">
        <x:f>D55*(1-2*'01_核心假设'!$B$17)</x:f>
        <x:v>714</x:v>
      </x:c>
      <x:c r="J55" s="41" t="n">
        <x:f>D55*(1+2*'01_核心假设'!$B$17)</x:f>
        <x:v>985.9999999999999</x:v>
      </x:c>
    </x:row>
    <x:row r="56">
      <x:c r="A56" s="30" t="str">
        <x:v>灵玉法袍</x:v>
      </x:c>
      <x:c r="B56" s="30" t="str">
        <x:v>防具</x:v>
      </x:c>
      <x:c r="C56" s="30" t="n">
        <x:v>2</x:v>
      </x:c>
      <x:c r="D56" s="40" t="n">
        <x:v>2600</x:v>
      </x:c>
      <x:c r="E56" s="41" t="n">
        <x:f>D56*'01_核心假设'!$B$16</x:f>
        <x:v>909.9999999999999</x:v>
      </x:c>
      <x:c r="F56" s="41" t="n">
        <x:f>D56*(1-'01_核心假设'!$B$17)</x:f>
        <x:v>2392</x:v>
      </x:c>
      <x:c r="G56" s="41" t="n">
        <x:f>D56*(1+'01_核心假设'!$B$17)</x:f>
        <x:v>2808</x:v>
      </x:c>
      <x:c r="H56" s="41" t="n">
        <x:f>F56*(1-'01_核心假设'!$B$15)</x:f>
        <x:v>2320.24</x:v>
      </x:c>
      <x:c r="I56" s="41" t="n">
        <x:f>D56*(1-2*'01_核心假设'!$B$17)</x:f>
        <x:v>2184</x:v>
      </x:c>
      <x:c r="J56" s="41" t="n">
        <x:f>D56*(1+2*'01_核心假设'!$B$17)</x:f>
        <x:v>3016</x:v>
      </x:c>
    </x:row>
    <x:row r="57">
      <x:c r="A57" s="30" t="str">
        <x:v>筑基战甲</x:v>
      </x:c>
      <x:c r="B57" s="30" t="str">
        <x:v>防具</x:v>
      </x:c>
      <x:c r="C57" s="30" t="n">
        <x:v>2</x:v>
      </x:c>
      <x:c r="D57" s="40" t="n">
        <x:v>8200</x:v>
      </x:c>
      <x:c r="E57" s="41" t="n">
        <x:f>D57*'01_核心假设'!$B$16</x:f>
        <x:v>2870</x:v>
      </x:c>
      <x:c r="F57" s="41" t="n">
        <x:f>D57*(1-'01_核心假设'!$B$17)</x:f>
        <x:v>7544</x:v>
      </x:c>
      <x:c r="G57" s="41" t="n">
        <x:f>D57*(1+'01_核心假设'!$B$17)</x:f>
        <x:v>8856</x:v>
      </x:c>
      <x:c r="H57" s="41" t="n">
        <x:f>F57*(1-'01_核心假设'!$B$15)</x:f>
        <x:v>7317.679999999999</x:v>
      </x:c>
      <x:c r="I57" s="41" t="n">
        <x:f>D57*(1-2*'01_核心假设'!$B$17)</x:f>
        <x:v>6888</x:v>
      </x:c>
      <x:c r="J57" s="41" t="n">
        <x:f>D57*(1+2*'01_核心假设'!$B$17)</x:f>
        <x:v>9512</x:v>
      </x:c>
    </x:row>
    <x:row r="58">
      <x:c r="A58" s="30" t="str">
        <x:v>青玉佩</x:v>
      </x:c>
      <x:c r="B58" s="30" t="str">
        <x:v>饰品</x:v>
      </x:c>
      <x:c r="C58" s="30" t="n">
        <x:v>1</x:v>
      </x:c>
      <x:c r="D58" s="40" t="n">
        <x:v>500</x:v>
      </x:c>
      <x:c r="E58" s="41" t="n">
        <x:f>D58*'01_核心假设'!$B$16</x:f>
        <x:v>175</x:v>
      </x:c>
      <x:c r="F58" s="41" t="n">
        <x:f>D58*(1-'01_核心假设'!$B$17)</x:f>
        <x:v>460</x:v>
      </x:c>
      <x:c r="G58" s="41" t="n">
        <x:f>D58*(1+'01_核心假设'!$B$17)</x:f>
        <x:v>540</x:v>
      </x:c>
      <x:c r="H58" s="41" t="n">
        <x:f>F58*(1-'01_核心假设'!$B$15)</x:f>
        <x:v>446.2</x:v>
      </x:c>
      <x:c r="I58" s="41" t="n">
        <x:f>D58*(1-2*'01_核心假设'!$B$17)</x:f>
        <x:v>420</x:v>
      </x:c>
      <x:c r="J58" s="41" t="n">
        <x:f>D58*(1+2*'01_核心假设'!$B$17)</x:f>
        <x:v>580</x:v>
      </x:c>
    </x:row>
    <x:row r="59">
      <x:c r="A59" s="30" t="str">
        <x:v>玄灵戒</x:v>
      </x:c>
      <x:c r="B59" s="30" t="str">
        <x:v>饰品</x:v>
      </x:c>
      <x:c r="C59" s="30" t="n">
        <x:v>2</x:v>
      </x:c>
      <x:c r="D59" s="40" t="n">
        <x:v>1600</x:v>
      </x:c>
      <x:c r="E59" s="41" t="n">
        <x:f>D59*'01_核心假设'!$B$16</x:f>
        <x:v>560</x:v>
      </x:c>
      <x:c r="F59" s="41" t="n">
        <x:f>D59*(1-'01_核心假设'!$B$17)</x:f>
        <x:v>1472</x:v>
      </x:c>
      <x:c r="G59" s="41" t="n">
        <x:f>D59*(1+'01_核心假设'!$B$17)</x:f>
        <x:v>1728</x:v>
      </x:c>
      <x:c r="H59" s="41" t="n">
        <x:f>F59*(1-'01_核心假设'!$B$15)</x:f>
        <x:v>1427.84</x:v>
      </x:c>
      <x:c r="I59" s="41" t="n">
        <x:f>D59*(1-2*'01_核心假设'!$B$17)</x:f>
        <x:v>1344</x:v>
      </x:c>
      <x:c r="J59" s="41" t="n">
        <x:f>D59*(1+2*'01_核心假设'!$B$17)</x:f>
        <x:v>1855.9999999999998</x:v>
      </x:c>
    </x:row>
    <x:row r="60">
      <x:c r="A60" s="31" t="str">
        <x:v>筑基护符</x:v>
      </x:c>
      <x:c r="B60" s="31" t="str">
        <x:v>饰品</x:v>
      </x:c>
      <x:c r="C60" s="31" t="n">
        <x:v>2</x:v>
      </x:c>
      <x:c r="D60" s="42" t="n">
        <x:v>5000</x:v>
      </x:c>
      <x:c r="E60" s="43" t="n">
        <x:f>D60*'01_核心假设'!$B$16</x:f>
        <x:v>1750</x:v>
      </x:c>
      <x:c r="F60" s="43" t="n">
        <x:f>D60*(1-'01_核心假设'!$B$17)</x:f>
        <x:v>4600</x:v>
      </x:c>
      <x:c r="G60" s="43" t="n">
        <x:f>D60*(1+'01_核心假设'!$B$17)</x:f>
        <x:v>5400</x:v>
      </x:c>
      <x:c r="H60" s="43" t="n">
        <x:f>F60*(1-'01_核心假设'!$B$15)</x:f>
        <x:v>4462</x:v>
      </x:c>
      <x:c r="I60" s="43" t="n">
        <x:f>D60*(1-2*'01_核心假设'!$B$17)</x:f>
        <x:v>4200</x:v>
      </x:c>
      <x:c r="J60" s="43" t="n">
        <x:f>D60*(1+2*'01_核心假设'!$B$17)</x:f>
        <x:v>5800</x:v>
      </x:c>
    </x:row>
  </x:sheetData>
  <x:mergeCells>
    <x:mergeCell ref="A1:J1"/>
    <x:mergeCell ref="A2:J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3" hidden="0" customWidth="1"/>
    <x:col min="5" max="5" width="13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0" hidden="0" customWidth="1"/>
  </x:cols>
  <x:sheetData>
    <x:row r="1" ht="30" customHeight="1">
      <x:c r="A1" s="3" t="str">
        <x:v>经济 Faucet / Sink 日流量模型</x:v>
      </x:c>
      <x:c r="B1" s="3" t="str">
        <x:v>经济 Faucet / Sink 日流量模型</x:v>
      </x:c>
      <x:c r="C1" s="3" t="str">
        <x:v>经济 Faucet / Sink 日流量模型</x:v>
      </x:c>
      <x:c r="D1" s="3" t="str">
        <x:v>经济 Faucet / Sink 日流量模型</x:v>
      </x:c>
      <x:c r="E1" s="3" t="str">
        <x:v>经济 Faucet / Sink 日流量模型</x:v>
      </x:c>
      <x:c r="F1" s="3" t="str">
        <x:v>经济 Faucet / Sink 日流量模型</x:v>
      </x:c>
      <x:c r="G1" s="3" t="str">
        <x:v>经济 Faucet / Sink 日流量模型</x:v>
      </x:c>
      <x:c r="H1" s="3" t="str">
        <x:v>经济 Faucet / Sink 日流量模型</x:v>
      </x:c>
      <x:c r="I1" s="3" t="str">
        <x:v>经济 Faucet / Sink 日流量模型</x:v>
      </x:c>
      <x:c r="J1" s="3" t="str">
        <x:v>经济 Faucet / Sink 日流量模型</x:v>
      </x:c>
      <x:c r="K1" s="3" t="str">
        <x:v>经济 Faucet / Sink 日流量模型</x:v>
      </x:c>
    </x:row>
    <x:row r="2">
      <x:c r="A2" s="7" t="str">
        <x:v>Faucet创造资源或灵石；Sink永久销毁。玩家交易仅转移财富，市场税才是净Sink。驱动量为可编辑场景假设。</x:v>
      </x:c>
      <x:c r="B2" s="7" t="str">
        <x:v>Faucet创造资源或灵石；Sink永久销毁。玩家交易仅转移财富，市场税才是净Sink。驱动量为可编辑场景假设。</x:v>
      </x:c>
      <x:c r="C2" s="7" t="str">
        <x:v>Faucet创造资源或灵石；Sink永久销毁。玩家交易仅转移财富，市场税才是净Sink。驱动量为可编辑场景假设。</x:v>
      </x:c>
      <x:c r="D2" s="7" t="str">
        <x:v>Faucet创造资源或灵石；Sink永久销毁。玩家交易仅转移财富，市场税才是净Sink。驱动量为可编辑场景假设。</x:v>
      </x:c>
      <x:c r="E2" s="7" t="str">
        <x:v>Faucet创造资源或灵石；Sink永久销毁。玩家交易仅转移财富，市场税才是净Sink。驱动量为可编辑场景假设。</x:v>
      </x:c>
      <x:c r="F2" s="7" t="str">
        <x:v>Faucet创造资源或灵石；Sink永久销毁。玩家交易仅转移财富，市场税才是净Sink。驱动量为可编辑场景假设。</x:v>
      </x:c>
      <x:c r="G2" s="7" t="str">
        <x:v>Faucet创造资源或灵石；Sink永久销毁。玩家交易仅转移财富，市场税才是净Sink。驱动量为可编辑场景假设。</x:v>
      </x:c>
      <x:c r="H2" s="7" t="str">
        <x:v>Faucet创造资源或灵石；Sink永久销毁。玩家交易仅转移财富，市场税才是净Sink。驱动量为可编辑场景假设。</x:v>
      </x:c>
      <x:c r="I2" s="7" t="str">
        <x:v>Faucet创造资源或灵石；Sink永久销毁。玩家交易仅转移财富，市场税才是净Sink。驱动量为可编辑场景假设。</x:v>
      </x:c>
      <x:c r="J2" s="7" t="str">
        <x:v>Faucet创造资源或灵石；Sink永久销毁。玩家交易仅转移财富，市场税才是净Sink。驱动量为可编辑场景假设。</x:v>
      </x:c>
      <x:c r="K2" s="7" t="str">
        <x:v>Faucet创造资源或灵石；Sink永久销毁。玩家交易仅转移财富，市场税才是净Sink。驱动量为可编辑场景假设。</x:v>
      </x:c>
    </x:row>
    <x:row r="3">
      <x:c r="A3" s="7" t="str">
        <x:v>Faucet创造资源或灵石；Sink永久销毁。玩家交易仅转移财富，市场税才是净Sink。驱动量为可编辑场景假设。</x:v>
      </x:c>
      <x:c r="B3" s="7" t="str">
        <x:v>Faucet创造资源或灵石；Sink永久销毁。玩家交易仅转移财富，市场税才是净Sink。驱动量为可编辑场景假设。</x:v>
      </x:c>
      <x:c r="C3" s="7" t="str">
        <x:v>Faucet创造资源或灵石；Sink永久销毁。玩家交易仅转移财富，市场税才是净Sink。驱动量为可编辑场景假设。</x:v>
      </x:c>
      <x:c r="D3" s="7" t="str">
        <x:v>Faucet创造资源或灵石；Sink永久销毁。玩家交易仅转移财富，市场税才是净Sink。驱动量为可编辑场景假设。</x:v>
      </x:c>
      <x:c r="E3" s="7" t="str">
        <x:v>Faucet创造资源或灵石；Sink永久销毁。玩家交易仅转移财富，市场税才是净Sink。驱动量为可编辑场景假设。</x:v>
      </x:c>
      <x:c r="F3" s="7" t="str">
        <x:v>Faucet创造资源或灵石；Sink永久销毁。玩家交易仅转移财富，市场税才是净Sink。驱动量为可编辑场景假设。</x:v>
      </x:c>
      <x:c r="G3" s="7" t="str">
        <x:v>Faucet创造资源或灵石；Sink永久销毁。玩家交易仅转移财富，市场税才是净Sink。驱动量为可编辑场景假设。</x:v>
      </x:c>
      <x:c r="H3" s="7" t="str">
        <x:v>Faucet创造资源或灵石；Sink永久销毁。玩家交易仅转移财富，市场税才是净Sink。驱动量为可编辑场景假设。</x:v>
      </x:c>
      <x:c r="I3" s="7" t="str">
        <x:v>Faucet创造资源或灵石；Sink永久销毁。玩家交易仅转移财富，市场税才是净Sink。驱动量为可编辑场景假设。</x:v>
      </x:c>
      <x:c r="J3" s="7" t="str">
        <x:v>Faucet创造资源或灵石；Sink永久销毁。玩家交易仅转移财富，市场税才是净Sink。驱动量为可编辑场景假设。</x:v>
      </x:c>
      <x:c r="K3" s="7" t="str">
        <x:v>Faucet创造资源或灵石；Sink永久销毁。玩家交易仅转移财富，市场税才是净Sink。驱动量为可编辑场景假设。</x:v>
      </x:c>
    </x:row>
    <x:row r="5" ht="28" customHeight="1">
      <x:c r="A5" s="19" t="str">
        <x:v>系统</x:v>
      </x:c>
      <x:c r="B5" s="20" t="str">
        <x:v>方向</x:v>
      </x:c>
      <x:c r="C5" s="20" t="str">
        <x:v>资源</x:v>
      </x:c>
      <x:c r="D5" s="20" t="str">
        <x:v>驱动量/日</x:v>
      </x:c>
      <x:c r="E5" s="20" t="str">
        <x:v>单位价值</x:v>
      </x:c>
      <x:c r="F5" s="20" t="str">
        <x:v>日流量绝对值</x:v>
      </x:c>
      <x:c r="G5" s="20" t="str">
        <x:v>净流量</x:v>
      </x:c>
      <x:c r="H5" s="20" t="str">
        <x:v>随成长缩放</x:v>
      </x:c>
      <x:c r="I5" s="20" t="str">
        <x:v>主要玩家</x:v>
      </x:c>
      <x:c r="J5" s="20" t="str">
        <x:v>持续性</x:v>
      </x:c>
      <x:c r="K5" s="21" t="str">
        <x:v>说明</x:v>
      </x:c>
    </x:row>
    <x:row r="6">
      <x:c r="A6" s="29" t="str">
        <x:v>NPC回收</x:v>
      </x:c>
      <x:c r="B6" s="29" t="str">
        <x:v>Faucet</x:v>
      </x:c>
      <x:c r="C6" s="29" t="str">
        <x:v>灵石</x:v>
      </x:c>
      <x:c r="D6" s="38" t="n">
        <x:v>4</x:v>
      </x:c>
      <x:c r="E6" s="38" t="n">
        <x:v>80</x:v>
      </x:c>
      <x:c r="F6" s="39" t="n">
        <x:f>D6*E6</x:f>
        <x:v>320</x:v>
      </x:c>
      <x:c r="G6" s="39" t="n">
        <x:f>IF(B6="Sink",-F6,IF(B6="Faucet",F6,0))</x:f>
        <x:v>320</x:v>
      </x:c>
      <x:c r="H6" s="29" t="str">
        <x:v>低</x:v>
      </x:c>
      <x:c r="I6" s="29" t="str">
        <x:v>采集者</x:v>
      </x:c>
      <x:c r="J6" s="29" t="str">
        <x:v>持续</x:v>
      </x:c>
      <x:c r="K6" s="29" t="str">
        <x:v>提供价格底线</x:v>
      </x:c>
    </x:row>
    <x:row r="7">
      <x:c r="A7" s="30" t="str">
        <x:v>普通历练灵石</x:v>
      </x:c>
      <x:c r="B7" s="30" t="str">
        <x:v>Faucet</x:v>
      </x:c>
      <x:c r="C7" s="30" t="str">
        <x:v>灵石</x:v>
      </x:c>
      <x:c r="D7" s="40" t="n">
        <x:v>120</x:v>
      </x:c>
      <x:c r="E7" s="40" t="n">
        <x:v>5</x:v>
      </x:c>
      <x:c r="F7" s="41" t="n">
        <x:f>D7*E7</x:f>
        <x:v>600</x:v>
      </x:c>
      <x:c r="G7" s="41" t="n">
        <x:f>IF(B7="Sink",-F7,IF(B7="Faucet",F7,0))</x:f>
        <x:v>600</x:v>
      </x:c>
      <x:c r="H7" s="30" t="str">
        <x:v>中</x:v>
      </x:c>
      <x:c r="I7" s="30" t="str">
        <x:v>战斗修士</x:v>
      </x:c>
      <x:c r="J7" s="30" t="str">
        <x:v>持续</x:v>
      </x:c>
      <x:c r="K7" s="30" t="str">
        <x:v>直接货币来源</x:v>
      </x:c>
    </x:row>
    <x:row r="8">
      <x:c r="A8" s="30" t="str">
        <x:v>任务奖励</x:v>
      </x:c>
      <x:c r="B8" s="30" t="str">
        <x:v>Faucet</x:v>
      </x:c>
      <x:c r="C8" s="30" t="str">
        <x:v>灵石</x:v>
      </x:c>
      <x:c r="D8" s="40" t="n">
        <x:v>2</x:v>
      </x:c>
      <x:c r="E8" s="40" t="n">
        <x:v>120</x:v>
      </x:c>
      <x:c r="F8" s="41" t="n">
        <x:f>D8*E8</x:f>
        <x:v>240</x:v>
      </x:c>
      <x:c r="G8" s="41" t="n">
        <x:f>IF(B8="Sink",-F8,IF(B8="Faucet",F8,0))</x:f>
        <x:v>240</x:v>
      </x:c>
      <x:c r="H8" s="30" t="str">
        <x:v>低</x:v>
      </x:c>
      <x:c r="I8" s="30" t="str">
        <x:v>所有玩家</x:v>
      </x:c>
      <x:c r="J8" s="30" t="str">
        <x:v>阶段</x:v>
      </x:c>
      <x:c r="K8" s="30" t="str">
        <x:v>目标引导</x:v>
      </x:c>
    </x:row>
    <x:row r="9">
      <x:c r="A9" s="30" t="str">
        <x:v>采集产物</x:v>
      </x:c>
      <x:c r="B9" s="30" t="str">
        <x:v>Faucet</x:v>
      </x:c>
      <x:c r="C9" s="30" t="str">
        <x:v>基础材料</x:v>
      </x:c>
      <x:c r="D9" s="40" t="n">
        <x:v>700</x:v>
      </x:c>
      <x:c r="E9" s="40" t="n">
        <x:v>2</x:v>
      </x:c>
      <x:c r="F9" s="41" t="n">
        <x:f>D9*E9</x:f>
        <x:v>1400</x:v>
      </x:c>
      <x:c r="G9" s="41" t="n">
        <x:f>IF(B9="Sink",-F9,IF(B9="Faucet",F9,0))</x:f>
        <x:v>1400</x:v>
      </x:c>
      <x:c r="H9" s="30" t="str">
        <x:v>中</x:v>
      </x:c>
      <x:c r="I9" s="30" t="str">
        <x:v>采集者</x:v>
      </x:c>
      <x:c r="J9" s="30" t="str">
        <x:v>持续</x:v>
      </x:c>
      <x:c r="K9" s="30" t="str">
        <x:v>资源而非货币</x:v>
      </x:c>
    </x:row>
    <x:row r="10">
      <x:c r="A10" s="30" t="str">
        <x:v>秘境掉落</x:v>
      </x:c>
      <x:c r="B10" s="30" t="str">
        <x:v>Faucet</x:v>
      </x:c>
      <x:c r="C10" s="30" t="str">
        <x:v>高级材料</x:v>
      </x:c>
      <x:c r="D10" s="40" t="n">
        <x:v>1.6</x:v>
      </x:c>
      <x:c r="E10" s="40" t="n">
        <x:v>500</x:v>
      </x:c>
      <x:c r="F10" s="41" t="n">
        <x:f>D10*E10</x:f>
        <x:v>800</x:v>
      </x:c>
      <x:c r="G10" s="41" t="n">
        <x:f>IF(B10="Sink",-F10,IF(B10="Faucet",F10,0))</x:f>
        <x:v>800</x:v>
      </x:c>
      <x:c r="H10" s="30" t="str">
        <x:v>中</x:v>
      </x:c>
      <x:c r="I10" s="30" t="str">
        <x:v>秘境玩家</x:v>
      </x:c>
      <x:c r="J10" s="30" t="str">
        <x:v>机会累积</x:v>
      </x:c>
      <x:c r="K10" s="30" t="str">
        <x:v>主动玩法价值</x:v>
      </x:c>
    </x:row>
    <x:row r="11">
      <x:c r="A11" s="30" t="str">
        <x:v>坊市交易</x:v>
      </x:c>
      <x:c r="B11" s="30" t="str">
        <x:v>转移</x:v>
      </x:c>
      <x:c r="C11" s="30" t="str">
        <x:v>灵石</x:v>
      </x:c>
      <x:c r="D11" s="40" t="n">
        <x:v>1800</x:v>
      </x:c>
      <x:c r="E11" s="40" t="n">
        <x:v>1</x:v>
      </x:c>
      <x:c r="F11" s="41" t="n">
        <x:f>D11*E11</x:f>
        <x:v>1800</x:v>
      </x:c>
      <x:c r="G11" s="41" t="n">
        <x:f>IF(B11="Sink",-F11,IF(B11="Faucet",F11,0))</x:f>
        <x:v>0</x:v>
      </x:c>
      <x:c r="H11" s="30" t="str">
        <x:v>高</x:v>
      </x:c>
      <x:c r="I11" s="30" t="str">
        <x:v>商人</x:v>
      </x:c>
      <x:c r="J11" s="30" t="str">
        <x:v>持续</x:v>
      </x:c>
      <x:c r="K11" s="30" t="str">
        <x:v>不创造财富</x:v>
      </x:c>
    </x:row>
    <x:row r="12">
      <x:c r="A12" s="30" t="str">
        <x:v>坊市税</x:v>
      </x:c>
      <x:c r="B12" s="30" t="str">
        <x:v>Sink</x:v>
      </x:c>
      <x:c r="C12" s="30" t="str">
        <x:v>灵石</x:v>
      </x:c>
      <x:c r="D12" s="40" t="n">
        <x:v>4000</x:v>
      </x:c>
      <x:c r="E12" s="62" t="n">
        <x:f>'01_核心假设'!$B$15</x:f>
        <x:v>0.03</x:v>
      </x:c>
      <x:c r="F12" s="41" t="n">
        <x:f>D12*E12</x:f>
        <x:v>120</x:v>
      </x:c>
      <x:c r="G12" s="41" t="n">
        <x:f>IF(B12="Sink",-F12,IF(B12="Faucet",F12,0))</x:f>
        <x:v>-120</x:v>
      </x:c>
      <x:c r="H12" s="30" t="str">
        <x:v>高</x:v>
      </x:c>
      <x:c r="I12" s="30" t="str">
        <x:v>交易玩家</x:v>
      </x:c>
      <x:c r="J12" s="30" t="str">
        <x:v>持续</x:v>
      </x:c>
      <x:c r="K12" s="30" t="str">
        <x:v>随交易规模增长</x:v>
      </x:c>
    </x:row>
    <x:row r="13">
      <x:c r="A13" s="30" t="str">
        <x:v>丹药消费</x:v>
      </x:c>
      <x:c r="B13" s="30" t="str">
        <x:v>Sink</x:v>
      </x:c>
      <x:c r="C13" s="30" t="str">
        <x:v>药材等价</x:v>
      </x:c>
      <x:c r="D13" s="40" t="n">
        <x:v>20</x:v>
      </x:c>
      <x:c r="E13" s="41" t="n">
        <x:f>IF("聚气丹"="",0,IFERROR(VLOOKUP("聚气丹",'14_市场基准价'!$A$6:$J$80,4,FALSE),0))</x:f>
        <x:v>28</x:v>
      </x:c>
      <x:c r="F13" s="41" t="n">
        <x:f>D13*E13</x:f>
        <x:v>560</x:v>
      </x:c>
      <x:c r="G13" s="41" t="n">
        <x:f>IF(B13="Sink",-F13,IF(B13="Faucet",F13,0))</x:f>
        <x:v>-560</x:v>
      </x:c>
      <x:c r="H13" s="30" t="str">
        <x:v>高</x:v>
      </x:c>
      <x:c r="I13" s="30" t="str">
        <x:v>所有玩家</x:v>
      </x:c>
      <x:c r="J13" s="30" t="str">
        <x:v>持续</x:v>
      </x:c>
      <x:c r="K13" s="30" t="str">
        <x:v>核心Recurring Sink</x:v>
      </x:c>
    </x:row>
    <x:row r="14">
      <x:c r="A14" s="30" t="str">
        <x:v>淬炼</x:v>
      </x:c>
      <x:c r="B14" s="30" t="str">
        <x:v>Sink</x:v>
      </x:c>
      <x:c r="C14" s="30" t="str">
        <x:v>灵石/矿材</x:v>
      </x:c>
      <x:c r="D14" s="40" t="n">
        <x:v>2</x:v>
      </x:c>
      <x:c r="E14" s="40" t="n">
        <x:v>500</x:v>
      </x:c>
      <x:c r="F14" s="41" t="n">
        <x:f>D14*E14</x:f>
        <x:v>1000</x:v>
      </x:c>
      <x:c r="G14" s="41" t="n">
        <x:f>IF(B14="Sink",-F14,IF(B14="Faucet",F14,0))</x:f>
        <x:v>-1000</x:v>
      </x:c>
      <x:c r="H14" s="30" t="str">
        <x:v>高</x:v>
      </x:c>
      <x:c r="I14" s="30" t="str">
        <x:v>装备玩家</x:v>
      </x:c>
      <x:c r="J14" s="30" t="str">
        <x:v>长期</x:v>
      </x:c>
      <x:c r="K14" s="30" t="str">
        <x:v>装备资源黑洞</x:v>
      </x:c>
    </x:row>
    <x:row r="15">
      <x:c r="A15" s="30" t="str">
        <x:v>洞府</x:v>
      </x:c>
      <x:c r="B15" s="30" t="str">
        <x:v>Sink</x:v>
      </x:c>
      <x:c r="C15" s="30" t="str">
        <x:v>灵石/材料</x:v>
      </x:c>
      <x:c r="D15" s="40" t="n">
        <x:v>0.25</x:v>
      </x:c>
      <x:c r="E15" s="40" t="n">
        <x:v>3000</x:v>
      </x:c>
      <x:c r="F15" s="41" t="n">
        <x:f>D15*E15</x:f>
        <x:v>750</x:v>
      </x:c>
      <x:c r="G15" s="41" t="n">
        <x:f>IF(B15="Sink",-F15,IF(B15="Faucet",F15,0))</x:f>
        <x:v>-750</x:v>
      </x:c>
      <x:c r="H15" s="30" t="str">
        <x:v>高</x:v>
      </x:c>
      <x:c r="I15" s="30" t="str">
        <x:v>长期玩家</x:v>
      </x:c>
      <x:c r="J15" s="30" t="str">
        <x:v>长期</x:v>
      </x:c>
      <x:c r="K15" s="30" t="str">
        <x:v>永久效率投资</x:v>
      </x:c>
    </x:row>
    <x:row r="16">
      <x:c r="A16" s="30" t="str">
        <x:v>境界突破</x:v>
      </x:c>
      <x:c r="B16" s="30" t="str">
        <x:v>Sink</x:v>
      </x:c>
      <x:c r="C16" s="30" t="str">
        <x:v>灵石/材料</x:v>
      </x:c>
      <x:c r="D16" s="40" t="n">
        <x:v>0.08</x:v>
      </x:c>
      <x:c r="E16" s="40" t="n">
        <x:v>2000</x:v>
      </x:c>
      <x:c r="F16" s="41" t="n">
        <x:f>D16*E16</x:f>
        <x:v>160</x:v>
      </x:c>
      <x:c r="G16" s="41" t="n">
        <x:f>IF(B16="Sink",-F16,IF(B16="Faucet",F16,0))</x:f>
        <x:v>-160</x:v>
      </x:c>
      <x:c r="H16" s="30" t="str">
        <x:v>阶梯</x:v>
      </x:c>
      <x:c r="I16" s="30" t="str">
        <x:v>所有玩家</x:v>
      </x:c>
      <x:c r="J16" s="30" t="str">
        <x:v>阶段</x:v>
      </x:c>
      <x:c r="K16" s="30" t="str">
        <x:v>明确长期目标</x:v>
      </x:c>
    </x:row>
    <x:row r="17">
      <x:c r="A17" s="30" t="str">
        <x:v>秘境入场</x:v>
      </x:c>
      <x:c r="B17" s="30" t="str">
        <x:v>Sink</x:v>
      </x:c>
      <x:c r="C17" s="30" t="str">
        <x:v>秘境残片</x:v>
      </x:c>
      <x:c r="D17" s="40" t="n">
        <x:v>1.2</x:v>
      </x:c>
      <x:c r="E17" s="41" t="n">
        <x:f>IF("秘境残片"="",0,IFERROR(VLOOKUP("秘境残片",'14_市场基准价'!$A$6:$J$80,4,FALSE),0))</x:f>
        <x:v>180</x:v>
      </x:c>
      <x:c r="F17" s="41" t="n">
        <x:f>D17*E17</x:f>
        <x:v>216</x:v>
      </x:c>
      <x:c r="G17" s="41" t="n">
        <x:f>IF(B17="Sink",-F17,IF(B17="Faucet",F17,0))</x:f>
        <x:v>-216</x:v>
      </x:c>
      <x:c r="H17" s="30" t="str">
        <x:v>中</x:v>
      </x:c>
      <x:c r="I17" s="30" t="str">
        <x:v>秘境玩家</x:v>
      </x:c>
      <x:c r="J17" s="30" t="str">
        <x:v>持续</x:v>
      </x:c>
      <x:c r="K17" s="30" t="str">
        <x:v>主动内容门票</x:v>
      </x:c>
    </x:row>
    <x:row r="18">
      <x:c r="A18" s="31" t="str">
        <x:v>NPC服务</x:v>
      </x:c>
      <x:c r="B18" s="31" t="str">
        <x:v>Sink</x:v>
      </x:c>
      <x:c r="C18" s="31" t="str">
        <x:v>灵石</x:v>
      </x:c>
      <x:c r="D18" s="42" t="n">
        <x:v>2</x:v>
      </x:c>
      <x:c r="E18" s="42" t="n">
        <x:v>50</x:v>
      </x:c>
      <x:c r="F18" s="43" t="n">
        <x:f>D18*E18</x:f>
        <x:v>100</x:v>
      </x:c>
      <x:c r="G18" s="43" t="n">
        <x:f>IF(B18="Sink",-F18,IF(B18="Faucet",F18,0))</x:f>
        <x:v>-100</x:v>
      </x:c>
      <x:c r="H18" s="31" t="str">
        <x:v>中</x:v>
      </x:c>
      <x:c r="I18" s="31" t="str">
        <x:v>所有玩家</x:v>
      </x:c>
      <x:c r="J18" s="31" t="str">
        <x:v>持续</x:v>
      </x:c>
      <x:c r="K18" s="31" t="str">
        <x:v>修理/鉴定/重置</x:v>
      </x:c>
    </x:row>
    <x:row r="21" ht="28" customHeight="1">
      <x:c r="A21" s="19" t="str">
        <x:v>经济检查</x:v>
      </x:c>
      <x:c r="B21" s="20" t="str">
        <x:v>公式结果</x:v>
      </x:c>
      <x:c r="C21" s="20" t="str">
        <x:v>目标</x:v>
      </x:c>
      <x:c r="D21" s="21" t="str">
        <x:v>状态</x:v>
      </x:c>
    </x:row>
    <x:row r="22">
      <x:c r="A22" t="str">
        <x:v>总Faucet/日</x:v>
      </x:c>
      <x:c r="B22" s="76" t="n">
        <x:f>SUMIF(B6:B18,"Faucet",F6:F18)</x:f>
        <x:v>3360</x:v>
      </x:c>
      <x:c r="C22" t="str">
        <x:v>观察</x:v>
      </x:c>
      <x:c r="D22" s="75" t="str">
        <x:f>"—"</x:f>
        <x:v>—</x:v>
      </x:c>
    </x:row>
    <x:row r="23">
      <x:c r="A23" t="str">
        <x:v>总Sink/日</x:v>
      </x:c>
      <x:c r="B23" s="76" t="n">
        <x:f>SUMIF(B6:B18,"Sink",F6:F18)</x:f>
        <x:v>2906</x:v>
      </x:c>
      <x:c r="C23" t="str">
        <x:v>接近Faucet</x:v>
      </x:c>
      <x:c r="D23" s="75" t="str">
        <x:f>IF(B23/B22&gt;=0.7,"可控","Sink偏弱")</x:f>
        <x:v>可控</x:v>
      </x:c>
    </x:row>
    <x:row r="24">
      <x:c r="A24" t="str">
        <x:v>净流量/日</x:v>
      </x:c>
      <x:c r="B24" s="76" t="n">
        <x:f>SUM(G6:G18)</x:f>
        <x:v>454</x:v>
      </x:c>
      <x:c r="C24" t="str">
        <x:v>小幅正值</x:v>
      </x:c>
      <x:c r="D24" s="75" t="str">
        <x:f>IF(ABS(B24)/B22&lt;=0.3,"可控","需校准")</x:f>
        <x:v>可控</x:v>
      </x:c>
    </x:row>
  </x:sheetData>
  <x:mergeCells>
    <x:mergeCell ref="A1:K1"/>
    <x:mergeCell ref="A2:K3"/>
  </x:mergeCells>
  <x:conditionalFormatting sqref="G6:G18">
    <x:cfRule type="colorScale" priority="1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3" hidden="0" customWidth="1"/>
    <x:col min="12" max="12" width="14" hidden="0" customWidth="1"/>
    <x:col min="13" max="13" width="18" hidden="0" customWidth="1"/>
    <x:col min="14" max="14" width="14" hidden="0" customWidth="1"/>
    <x:col min="15" max="15" width="16" hidden="0" customWidth="1"/>
    <x:col min="16" max="16" width="15" hidden="0" customWidth="1"/>
    <x:col min="17" max="17" width="14" hidden="0" customWidth="1"/>
    <x:col min="18" max="18" width="16" hidden="0" customWidth="1"/>
    <x:col min="19" max="19" width="14" hidden="0" customWidth="1"/>
    <x:col min="20" max="20" width="12" hidden="0" customWidth="1"/>
    <x:col min="21" max="21" width="30" hidden="0" customWidth="1"/>
    <x:col min="22" max="22" width="16" hidden="0" customWidth="1"/>
    <x:col min="23" max="23" width="18" hidden="0" customWidth="1"/>
    <x:col min="24" max="24" width="18" hidden="0" customWidth="1"/>
    <x:col min="25" max="25" width="14" hidden="0" customWidth="1"/>
    <x:col min="26" max="26" width="15" hidden="0" customWidth="1"/>
    <x:col min="27" max="27" width="16" hidden="0" customWidth="1"/>
  </x:cols>
  <x:sheetData>
    <x:row r="1" ht="30" customHeight="1">
      <x:c r="A1" s="3" t="str">
        <x:v>Day 1 / 7 / 10 / 30 / 90 / 180 / 365 玩家成长模拟</x:v>
      </x:c>
      <x:c r="B1" s="3" t="str">
        <x:v>Day 1 / 7 / 10 / 30 / 90 / 180 / 365 玩家成长模拟</x:v>
      </x:c>
      <x:c r="C1" s="3" t="str">
        <x:v>Day 1 / 7 / 10 / 30 / 90 / 180 / 365 玩家成长模拟</x:v>
      </x:c>
      <x:c r="D1" s="3" t="str">
        <x:v>Day 1 / 7 / 10 / 30 / 90 / 180 / 365 玩家成长模拟</x:v>
      </x:c>
      <x:c r="E1" s="3" t="str">
        <x:v>Day 1 / 7 / 10 / 30 / 90 / 180 / 365 玩家成长模拟</x:v>
      </x:c>
      <x:c r="F1" s="3" t="str">
        <x:v>Day 1 / 7 / 10 / 30 / 90 / 180 / 365 玩家成长模拟</x:v>
      </x:c>
      <x:c r="G1" s="3" t="str">
        <x:v>Day 1 / 7 / 10 / 30 / 90 / 180 / 365 玩家成长模拟</x:v>
      </x:c>
      <x:c r="H1" s="3" t="str">
        <x:v>Day 1 / 7 / 10 / 30 / 90 / 180 / 365 玩家成长模拟</x:v>
      </x:c>
      <x:c r="I1" s="3" t="str">
        <x:v>Day 1 / 7 / 10 / 30 / 90 / 180 / 365 玩家成长模拟</x:v>
      </x:c>
      <x:c r="J1" s="3" t="str">
        <x:v>Day 1 / 7 / 10 / 30 / 90 / 180 / 365 玩家成长模拟</x:v>
      </x:c>
      <x:c r="K1" s="3" t="str">
        <x:v>Day 1 / 7 / 10 / 30 / 90 / 180 / 365 玩家成长模拟</x:v>
      </x:c>
      <x:c r="L1" s="3" t="str">
        <x:v>Day 1 / 7 / 10 / 30 / 90 / 180 / 365 玩家成长模拟</x:v>
      </x:c>
      <x:c r="M1" s="3" t="str">
        <x:v>Day 1 / 7 / 10 / 30 / 90 / 180 / 365 玩家成长模拟</x:v>
      </x:c>
      <x:c r="N1" s="3" t="str">
        <x:v>Day 1 / 7 / 10 / 30 / 90 / 180 / 365 玩家成长模拟</x:v>
      </x:c>
      <x:c r="O1" s="3" t="str">
        <x:v>Day 1 / 7 / 10 / 30 / 90 / 180 / 365 玩家成长模拟</x:v>
      </x:c>
      <x:c r="P1" s="3" t="str">
        <x:v>Day 1 / 7 / 10 / 30 / 90 / 180 / 365 玩家成长模拟</x:v>
      </x:c>
      <x:c r="Q1" s="3" t="str">
        <x:v>Day 1 / 7 / 10 / 30 / 90 / 180 / 365 玩家成长模拟</x:v>
      </x:c>
      <x:c r="R1" s="3" t="str">
        <x:v>Day 1 / 7 / 10 / 30 / 90 / 180 / 365 玩家成长模拟</x:v>
      </x:c>
      <x:c r="S1" s="3" t="str">
        <x:v>Day 1 / 7 / 10 / 30 / 90 / 180 / 365 玩家成长模拟</x:v>
      </x:c>
      <x:c r="T1" s="3" t="str">
        <x:v>Day 1 / 7 / 10 / 30 / 90 / 180 / 365 玩家成长模拟</x:v>
      </x:c>
      <x:c r="U1" s="3" t="str">
        <x:v>Day 1 / 7 / 10 / 30 / 90 / 180 / 365 玩家成长模拟</x:v>
      </x:c>
      <x:c r="V1" s="3" t="str">
        <x:v>Day 1 / 7 / 10 / 30 / 90 / 180 / 365 玩家成长模拟</x:v>
      </x:c>
      <x:c r="W1" s="3" t="str">
        <x:v>Day 1 / 7 / 10 / 30 / 90 / 180 / 365 玩家成长模拟</x:v>
      </x:c>
      <x:c r="X1" s="3" t="str">
        <x:v>Day 1 / 7 / 10 / 30 / 90 / 180 / 365 玩家成长模拟</x:v>
      </x:c>
      <x:c r="Y1" s="3" t="str">
        <x:v>Day 1 / 7 / 10 / 30 / 90 / 180 / 365 玩家成长模拟</x:v>
      </x:c>
      <x:c r="Z1" s="3" t="str">
        <x:v>Day 1 / 7 / 10 / 30 / 90 / 180 / 365 玩家成长模拟</x:v>
      </x:c>
      <x:c r="AA1" s="3" t="str">
        <x:v>Day 1 / 7 / 10 / 30 / 90 / 180 / 365 玩家成长模拟</x:v>
      </x:c>
    </x:row>
    <x:row r="2">
      <x:c r="A2" s="7" t="str">
        <x:v>三种玩家画像分别模拟挂机分配与在线秘境。Day10是筑基校准点；总产值由实际行动表驱动，资源与经济门槛共同决定境界。</x:v>
      </x:c>
      <x:c r="B2" s="7" t="str">
        <x:v>三种玩家画像分别模拟挂机分配与在线秘境。Day10是筑基校准点；总产值由实际行动表驱动，资源与经济门槛共同决定境界。</x:v>
      </x:c>
      <x:c r="C2" s="7" t="str">
        <x:v>三种玩家画像分别模拟挂机分配与在线秘境。Day10是筑基校准点；总产值由实际行动表驱动，资源与经济门槛共同决定境界。</x:v>
      </x:c>
      <x:c r="D2" s="7" t="str">
        <x:v>三种玩家画像分别模拟挂机分配与在线秘境。Day10是筑基校准点；总产值由实际行动表驱动，资源与经济门槛共同决定境界。</x:v>
      </x:c>
      <x:c r="E2" s="7" t="str">
        <x:v>三种玩家画像分别模拟挂机分配与在线秘境。Day10是筑基校准点；总产值由实际行动表驱动，资源与经济门槛共同决定境界。</x:v>
      </x:c>
      <x:c r="F2" s="7" t="str">
        <x:v>三种玩家画像分别模拟挂机分配与在线秘境。Day10是筑基校准点；总产值由实际行动表驱动，资源与经济门槛共同决定境界。</x:v>
      </x:c>
      <x:c r="G2" s="7" t="str">
        <x:v>三种玩家画像分别模拟挂机分配与在线秘境。Day10是筑基校准点；总产值由实际行动表驱动，资源与经济门槛共同决定境界。</x:v>
      </x:c>
      <x:c r="H2" s="7" t="str">
        <x:v>三种玩家画像分别模拟挂机分配与在线秘境。Day10是筑基校准点；总产值由实际行动表驱动，资源与经济门槛共同决定境界。</x:v>
      </x:c>
      <x:c r="I2" s="7" t="str">
        <x:v>三种玩家画像分别模拟挂机分配与在线秘境。Day10是筑基校准点；总产值由实际行动表驱动，资源与经济门槛共同决定境界。</x:v>
      </x:c>
      <x:c r="J2" s="7" t="str">
        <x:v>三种玩家画像分别模拟挂机分配与在线秘境。Day10是筑基校准点；总产值由实际行动表驱动，资源与经济门槛共同决定境界。</x:v>
      </x:c>
      <x:c r="K2" s="7" t="str">
        <x:v>三种玩家画像分别模拟挂机分配与在线秘境。Day10是筑基校准点；总产值由实际行动表驱动，资源与经济门槛共同决定境界。</x:v>
      </x:c>
      <x:c r="L2" s="7" t="str">
        <x:v>三种玩家画像分别模拟挂机分配与在线秘境。Day10是筑基校准点；总产值由实际行动表驱动，资源与经济门槛共同决定境界。</x:v>
      </x:c>
      <x:c r="M2" s="7" t="str">
        <x:v>三种玩家画像分别模拟挂机分配与在线秘境。Day10是筑基校准点；总产值由实际行动表驱动，资源与经济门槛共同决定境界。</x:v>
      </x:c>
      <x:c r="N2" s="7" t="str">
        <x:v>三种玩家画像分别模拟挂机分配与在线秘境。Day10是筑基校准点；总产值由实际行动表驱动，资源与经济门槛共同决定境界。</x:v>
      </x:c>
      <x:c r="O2" s="7" t="str">
        <x:v>三种玩家画像分别模拟挂机分配与在线秘境。Day10是筑基校准点；总产值由实际行动表驱动，资源与经济门槛共同决定境界。</x:v>
      </x:c>
      <x:c r="P2" s="7" t="str">
        <x:v>三种玩家画像分别模拟挂机分配与在线秘境。Day10是筑基校准点；总产值由实际行动表驱动，资源与经济门槛共同决定境界。</x:v>
      </x:c>
      <x:c r="Q2" s="7" t="str">
        <x:v>三种玩家画像分别模拟挂机分配与在线秘境。Day10是筑基校准点；总产值由实际行动表驱动，资源与经济门槛共同决定境界。</x:v>
      </x:c>
      <x:c r="R2" s="7" t="str">
        <x:v>三种玩家画像分别模拟挂机分配与在线秘境。Day10是筑基校准点；总产值由实际行动表驱动，资源与经济门槛共同决定境界。</x:v>
      </x:c>
      <x:c r="S2" s="7" t="str">
        <x:v>三种玩家画像分别模拟挂机分配与在线秘境。Day10是筑基校准点；总产值由实际行动表驱动，资源与经济门槛共同决定境界。</x:v>
      </x:c>
      <x:c r="T2" s="7" t="str">
        <x:v>三种玩家画像分别模拟挂机分配与在线秘境。Day10是筑基校准点；总产值由实际行动表驱动，资源与经济门槛共同决定境界。</x:v>
      </x:c>
      <x:c r="U2" s="7" t="str">
        <x:v>三种玩家画像分别模拟挂机分配与在线秘境。Day10是筑基校准点；总产值由实际行动表驱动，资源与经济门槛共同决定境界。</x:v>
      </x:c>
      <x:c r="V2" s="7" t="str">
        <x:v>三种玩家画像分别模拟挂机分配与在线秘境。Day10是筑基校准点；总产值由实际行动表驱动，资源与经济门槛共同决定境界。</x:v>
      </x:c>
      <x:c r="W2" s="7" t="str">
        <x:v>三种玩家画像分别模拟挂机分配与在线秘境。Day10是筑基校准点；总产值由实际行动表驱动，资源与经济门槛共同决定境界。</x:v>
      </x:c>
      <x:c r="X2" s="7" t="str">
        <x:v>三种玩家画像分别模拟挂机分配与在线秘境。Day10是筑基校准点；总产值由实际行动表驱动，资源与经济门槛共同决定境界。</x:v>
      </x:c>
      <x:c r="Y2" s="7" t="str">
        <x:v>三种玩家画像分别模拟挂机分配与在线秘境。Day10是筑基校准点；总产值由实际行动表驱动，资源与经济门槛共同决定境界。</x:v>
      </x:c>
      <x:c r="Z2" s="7" t="str">
        <x:v>三种玩家画像分别模拟挂机分配与在线秘境。Day10是筑基校准点；总产值由实际行动表驱动，资源与经济门槛共同决定境界。</x:v>
      </x:c>
      <x:c r="AA2" s="7" t="str">
        <x:v>三种玩家画像分别模拟挂机分配与在线秘境。Day10是筑基校准点；总产值由实际行动表驱动，资源与经济门槛共同决定境界。</x:v>
      </x:c>
    </x:row>
    <x:row r="3">
      <x:c r="A3" s="7" t="str">
        <x:v>三种玩家画像分别模拟挂机分配与在线秘境。Day10是筑基校准点；总产值由实际行动表驱动，资源与经济门槛共同决定境界。</x:v>
      </x:c>
      <x:c r="B3" s="7" t="str">
        <x:v>三种玩家画像分别模拟挂机分配与在线秘境。Day10是筑基校准点；总产值由实际行动表驱动，资源与经济门槛共同决定境界。</x:v>
      </x:c>
      <x:c r="C3" s="7" t="str">
        <x:v>三种玩家画像分别模拟挂机分配与在线秘境。Day10是筑基校准点；总产值由实际行动表驱动，资源与经济门槛共同决定境界。</x:v>
      </x:c>
      <x:c r="D3" s="7" t="str">
        <x:v>三种玩家画像分别模拟挂机分配与在线秘境。Day10是筑基校准点；总产值由实际行动表驱动，资源与经济门槛共同决定境界。</x:v>
      </x:c>
      <x:c r="E3" s="7" t="str">
        <x:v>三种玩家画像分别模拟挂机分配与在线秘境。Day10是筑基校准点；总产值由实际行动表驱动，资源与经济门槛共同决定境界。</x:v>
      </x:c>
      <x:c r="F3" s="7" t="str">
        <x:v>三种玩家画像分别模拟挂机分配与在线秘境。Day10是筑基校准点；总产值由实际行动表驱动，资源与经济门槛共同决定境界。</x:v>
      </x:c>
      <x:c r="G3" s="7" t="str">
        <x:v>三种玩家画像分别模拟挂机分配与在线秘境。Day10是筑基校准点；总产值由实际行动表驱动，资源与经济门槛共同决定境界。</x:v>
      </x:c>
      <x:c r="H3" s="7" t="str">
        <x:v>三种玩家画像分别模拟挂机分配与在线秘境。Day10是筑基校准点；总产值由实际行动表驱动，资源与经济门槛共同决定境界。</x:v>
      </x:c>
      <x:c r="I3" s="7" t="str">
        <x:v>三种玩家画像分别模拟挂机分配与在线秘境。Day10是筑基校准点；总产值由实际行动表驱动，资源与经济门槛共同决定境界。</x:v>
      </x:c>
      <x:c r="J3" s="7" t="str">
        <x:v>三种玩家画像分别模拟挂机分配与在线秘境。Day10是筑基校准点；总产值由实际行动表驱动，资源与经济门槛共同决定境界。</x:v>
      </x:c>
      <x:c r="K3" s="7" t="str">
        <x:v>三种玩家画像分别模拟挂机分配与在线秘境。Day10是筑基校准点；总产值由实际行动表驱动，资源与经济门槛共同决定境界。</x:v>
      </x:c>
      <x:c r="L3" s="7" t="str">
        <x:v>三种玩家画像分别模拟挂机分配与在线秘境。Day10是筑基校准点；总产值由实际行动表驱动，资源与经济门槛共同决定境界。</x:v>
      </x:c>
      <x:c r="M3" s="7" t="str">
        <x:v>三种玩家画像分别模拟挂机分配与在线秘境。Day10是筑基校准点；总产值由实际行动表驱动，资源与经济门槛共同决定境界。</x:v>
      </x:c>
      <x:c r="N3" s="7" t="str">
        <x:v>三种玩家画像分别模拟挂机分配与在线秘境。Day10是筑基校准点；总产值由实际行动表驱动，资源与经济门槛共同决定境界。</x:v>
      </x:c>
      <x:c r="O3" s="7" t="str">
        <x:v>三种玩家画像分别模拟挂机分配与在线秘境。Day10是筑基校准点；总产值由实际行动表驱动，资源与经济门槛共同决定境界。</x:v>
      </x:c>
      <x:c r="P3" s="7" t="str">
        <x:v>三种玩家画像分别模拟挂机分配与在线秘境。Day10是筑基校准点；总产值由实际行动表驱动，资源与经济门槛共同决定境界。</x:v>
      </x:c>
      <x:c r="Q3" s="7" t="str">
        <x:v>三种玩家画像分别模拟挂机分配与在线秘境。Day10是筑基校准点；总产值由实际行动表驱动，资源与经济门槛共同决定境界。</x:v>
      </x:c>
      <x:c r="R3" s="7" t="str">
        <x:v>三种玩家画像分别模拟挂机分配与在线秘境。Day10是筑基校准点；总产值由实际行动表驱动，资源与经济门槛共同决定境界。</x:v>
      </x:c>
      <x:c r="S3" s="7" t="str">
        <x:v>三种玩家画像分别模拟挂机分配与在线秘境。Day10是筑基校准点；总产值由实际行动表驱动，资源与经济门槛共同决定境界。</x:v>
      </x:c>
      <x:c r="T3" s="7" t="str">
        <x:v>三种玩家画像分别模拟挂机分配与在线秘境。Day10是筑基校准点；总产值由实际行动表驱动，资源与经济门槛共同决定境界。</x:v>
      </x:c>
      <x:c r="U3" s="7" t="str">
        <x:v>三种玩家画像分别模拟挂机分配与在线秘境。Day10是筑基校准点；总产值由实际行动表驱动，资源与经济门槛共同决定境界。</x:v>
      </x:c>
      <x:c r="V3" s="7" t="str">
        <x:v>三种玩家画像分别模拟挂机分配与在线秘境。Day10是筑基校准点；总产值由实际行动表驱动，资源与经济门槛共同决定境界。</x:v>
      </x:c>
      <x:c r="W3" s="7" t="str">
        <x:v>三种玩家画像分别模拟挂机分配与在线秘境。Day10是筑基校准点；总产值由实际行动表驱动，资源与经济门槛共同决定境界。</x:v>
      </x:c>
      <x:c r="X3" s="7" t="str">
        <x:v>三种玩家画像分别模拟挂机分配与在线秘境。Day10是筑基校准点；总产值由实际行动表驱动，资源与经济门槛共同决定境界。</x:v>
      </x:c>
      <x:c r="Y3" s="7" t="str">
        <x:v>三种玩家画像分别模拟挂机分配与在线秘境。Day10是筑基校准点；总产值由实际行动表驱动，资源与经济门槛共同决定境界。</x:v>
      </x:c>
      <x:c r="Z3" s="7" t="str">
        <x:v>三种玩家画像分别模拟挂机分配与在线秘境。Day10是筑基校准点；总产值由实际行动表驱动，资源与经济门槛共同决定境界。</x:v>
      </x:c>
      <x:c r="AA3" s="7" t="str">
        <x:v>三种玩家画像分别模拟挂机分配与在线秘境。Day10是筑基校准点；总产值由实际行动表驱动，资源与经济门槛共同决定境界。</x:v>
      </x:c>
    </x:row>
    <x:row r="5" ht="28" customHeight="1">
      <x:c r="A5" s="19" t="str">
        <x:v>玩家画像</x:v>
      </x:c>
      <x:c r="B5" s="20" t="str">
        <x:v>修炼占比</x:v>
      </x:c>
      <x:c r="C5" s="20" t="str">
        <x:v>采集占比</x:v>
      </x:c>
      <x:c r="D5" s="20" t="str">
        <x:v>生产占比</x:v>
      </x:c>
      <x:c r="E5" s="20" t="str">
        <x:v>普通战斗占比</x:v>
      </x:c>
      <x:c r="F5" s="20" t="str">
        <x:v>单次在线分钟</x:v>
      </x:c>
      <x:c r="G5" s="20" t="str">
        <x:v>秘境参与率</x:v>
      </x:c>
      <x:c r="H5" s="20" t="str">
        <x:v>丹药覆盖率</x:v>
      </x:c>
      <x:c r="I5" s="20" t="str">
        <x:v>采集倍率</x:v>
      </x:c>
      <x:c r="J5" s="20" t="str">
        <x:v>生产倍率</x:v>
      </x:c>
      <x:c r="K5" s="20" t="str">
        <x:v>战斗倍率</x:v>
      </x:c>
      <x:c r="L5" s="21" t="str">
        <x:v>说明</x:v>
      </x:c>
    </x:row>
    <x:row r="6">
      <x:c r="A6" s="29" t="str">
        <x:v>均衡散修</x:v>
      </x:c>
      <x:c r="B6" s="72" t="n">
        <x:v>0.35</x:v>
      </x:c>
      <x:c r="C6" s="72" t="n">
        <x:v>0.25</x:v>
      </x:c>
      <x:c r="D6" s="72" t="n">
        <x:v>0.2</x:v>
      </x:c>
      <x:c r="E6" s="72" t="n">
        <x:v>0.2</x:v>
      </x:c>
      <x:c r="F6" s="29" t="n">
        <x:v>25</x:v>
      </x:c>
      <x:c r="G6" s="72" t="n">
        <x:v>0.8</x:v>
      </x:c>
      <x:c r="H6" s="72" t="n">
        <x:v>0.65</x:v>
      </x:c>
      <x:c r="I6" s="82" t="n">
        <x:v>1</x:v>
      </x:c>
      <x:c r="J6" s="82" t="n">
        <x:v>1</x:v>
      </x:c>
      <x:c r="K6" s="82" t="n">
        <x:v>1</x:v>
      </x:c>
      <x:c r="L6" s="29" t="str">
        <x:v>主基准：稳定体验所有系统</x:v>
      </x:c>
    </x:row>
    <x:row r="7">
      <x:c r="A7" s="30" t="str">
        <x:v>专精丹师</x:v>
      </x:c>
      <x:c r="B7" s="32" t="n">
        <x:v>0.25</x:v>
      </x:c>
      <x:c r="C7" s="32" t="n">
        <x:v>0.2</x:v>
      </x:c>
      <x:c r="D7" s="32" t="n">
        <x:v>0.4</x:v>
      </x:c>
      <x:c r="E7" s="32" t="n">
        <x:v>0.15</x:v>
      </x:c>
      <x:c r="F7" s="30" t="n">
        <x:v>30</x:v>
      </x:c>
      <x:c r="G7" s="32" t="n">
        <x:v>0.6</x:v>
      </x:c>
      <x:c r="H7" s="32" t="n">
        <x:v>0.9</x:v>
      </x:c>
      <x:c r="I7" s="83" t="n">
        <x:v>0.9</x:v>
      </x:c>
      <x:c r="J7" s="83" t="n">
        <x:v>1.25</x:v>
      </x:c>
      <x:c r="K7" s="83" t="n">
        <x:v>0.85</x:v>
      </x:c>
      <x:c r="L7" s="30" t="str">
        <x:v>购买部分原料，强化炼丹与市场</x:v>
      </x:c>
    </x:row>
    <x:row r="8">
      <x:c r="A8" s="31" t="str">
        <x:v>秘境修士</x:v>
      </x:c>
      <x:c r="B8" s="73" t="n">
        <x:v>0.3</x:v>
      </x:c>
      <x:c r="C8" s="73" t="n">
        <x:v>0.15</x:v>
      </x:c>
      <x:c r="D8" s="73" t="n">
        <x:v>0.15</x:v>
      </x:c>
      <x:c r="E8" s="73" t="n">
        <x:v>0.4</x:v>
      </x:c>
      <x:c r="F8" s="31" t="n">
        <x:v>35</x:v>
      </x:c>
      <x:c r="G8" s="73" t="n">
        <x:v>1</x:v>
      </x:c>
      <x:c r="H8" s="73" t="n">
        <x:v>0.75</x:v>
      </x:c>
      <x:c r="I8" s="84" t="n">
        <x:v>0.9</x:v>
      </x:c>
      <x:c r="J8" s="84" t="n">
        <x:v>0.85</x:v>
      </x:c>
      <x:c r="K8" s="84" t="n">
        <x:v>1.25</x:v>
      </x:c>
      <x:c r="L8" s="31" t="str">
        <x:v>战斗与秘境优先，出售高级材料</x:v>
      </x:c>
    </x:row>
    <x:row r="11" ht="28" customHeight="1">
      <x:c r="A11" s="19" t="str">
        <x:v>玩家画像</x:v>
      </x:c>
      <x:c r="B11" s="20" t="str">
        <x:v>天数</x:v>
      </x:c>
      <x:c r="C11" s="20" t="str">
        <x:v>挂机小时</x:v>
      </x:c>
      <x:c r="D11" s="20" t="str">
        <x:v>在线小时</x:v>
      </x:c>
      <x:c r="E11" s="20" t="str">
        <x:v>长期效率倍率</x:v>
      </x:c>
      <x:c r="F11" s="20" t="str">
        <x:v>修炼小时</x:v>
      </x:c>
      <x:c r="G11" s="20" t="str">
        <x:v>采集小时</x:v>
      </x:c>
      <x:c r="H11" s="20" t="str">
        <x:v>生产小时</x:v>
      </x:c>
      <x:c r="I11" s="20" t="str">
        <x:v>战斗小时</x:v>
      </x:c>
      <x:c r="J11" s="20" t="str">
        <x:v>秘境次数</x:v>
      </x:c>
      <x:c r="K11" s="20" t="str">
        <x:v>秘境成功次数</x:v>
      </x:c>
      <x:c r="L11" s="20" t="str">
        <x:v>累计修为</x:v>
      </x:c>
      <x:c r="M11" s="20" t="str">
        <x:v>实际境界阶段</x:v>
      </x:c>
      <x:c r="N11" s="20" t="str">
        <x:v>累计百艺XP</x:v>
      </x:c>
      <x:c r="O11" s="20" t="str">
        <x:v>灵石等价总产值</x:v>
      </x:c>
      <x:c r="P11" s="20" t="str">
        <x:v>主动秘境价值</x:v>
      </x:c>
      <x:c r="Q11" s="20" t="str">
        <x:v>主动收益占比</x:v>
      </x:c>
      <x:c r="R11" s="20" t="str">
        <x:v>筑基综合准备度</x:v>
      </x:c>
      <x:c r="S11" s="20" t="str">
        <x:v>推荐工具节点</x:v>
      </x:c>
      <x:c r="T11" s="20" t="str">
        <x:v>闭关队列槽</x:v>
      </x:c>
      <x:c r="U11" s="20" t="str">
        <x:v>阶段重点</x:v>
      </x:c>
      <x:c r="V11" s="20" t="str">
        <x:v>采集基准价值/小时</x:v>
      </x:c>
      <x:c r="W11" s="20" t="str">
        <x:v>生产基准利润/小时</x:v>
      </x:c>
      <x:c r="X11" s="20" t="str">
        <x:v>战斗基准价值/小时</x:v>
      </x:c>
      <x:c r="Y11" s="20" t="str">
        <x:v>消耗品成本</x:v>
      </x:c>
      <x:c r="Z11" s="20" t="str">
        <x:v>长期投资Sink</x:v>
      </x:c>
      <x:c r="AA11" s="21" t="str">
        <x:v>可投资净资产</x:v>
      </x:c>
    </x:row>
    <x:row r="12">
      <x:c r="A12" s="29" t="str">
        <x:v>均衡散修</x:v>
      </x:c>
      <x:c r="B12" s="29" t="n">
        <x:v>1</x:v>
      </x:c>
      <x:c r="C12" s="39" t="n">
        <x:f>B12*'01_核心假设'!$B$7*'01_核心假设'!$B$12</x:f>
        <x:v>19.200000000000003</x:v>
      </x:c>
      <x:c r="D12" s="39" t="n">
        <x:f>B12*'01_核心假设'!$B$10*F6/'01_核心假设'!$B$8</x:f>
        <x:v>0.8333333333333334</x:v>
      </x:c>
      <x:c r="E12" s="67" t="n">
        <x:f>1+'01_核心假设'!$B$30*LN(1+B12)</x:f>
        <x:v>1.12476649250079</x:v>
      </x:c>
      <x:c r="F12" s="39" t="n">
        <x:f>C12*B6</x:f>
        <x:v>6.720000000000001</x:v>
      </x:c>
      <x:c r="G12" s="39" t="n">
        <x:f>C12*C6</x:f>
        <x:v>4.800000000000001</x:v>
      </x:c>
      <x:c r="H12" s="39" t="n">
        <x:f>C12*D6</x:f>
        <x:v>3.8400000000000007</x:v>
      </x:c>
      <x:c r="I12" s="39" t="n">
        <x:f>C12*E6</x:f>
        <x:v>3.8400000000000007</x:v>
      </x:c>
      <x:c r="J12" s="39" t="n">
        <x:f>B12*'01_核心假设'!$B$7/'01_核心假设'!$B$24*G6</x:f>
        <x:v>1.6</x:v>
      </x:c>
      <x:c r="K12" s="39" t="n">
        <x:f>IFERROR(VLOOKUP(A12&amp;"|"&amp;B12,'18_战力秘境模拟'!$A$6:$R$26,15,FALSE),J12*0.5)</x:f>
        <x:v>1.3565839450620079</x:v>
      </x:c>
      <x:c r="L12" s="39" t="n">
        <x:f>F12*'01_核心假设'!$B$13*E12*(1+H6*'01_核心假设'!$B$34)+K12*'01_核心假设'!$B$29</x:f>
        <x:v>2779.3776601609693</x:v>
      </x:c>
      <x:c r="M12" s="39" t="str">
        <x:f>IFERROR(VLOOKUP(A12&amp;"|"&amp;B12,'17_资源突破模拟'!$A$6:$P$26,16,FALSE),VLOOKUP(L12,'02_境界时间轴'!$A$6:$C$17,2,TRUE))</x:f>
        <x:v>炼气中期</x:v>
      </x:c>
      <x:c r="N12" s="39" t="n">
        <x:f>(G12+H12)*120*E12</x:f>
        <x:v>1166.1578994248193</x:v>
      </x:c>
      <x:c r="O12" s="39" t="n">
        <x:f>G12*V12*I6*E12+H12*W12*J6*E12+I12*X12*K6*E12+P12</x:f>
        <x:v>14568.518209148366</x:v>
      </x:c>
      <x:c r="P12" s="39" t="n">
        <x:f>IFERROR(VLOOKUP(A12&amp;"|"&amp;B12,'18_战力秘境模拟'!$A$6:$R$26,17,FALSE),J12*'01_核心假设'!$B$28)</x:f>
        <x:v>6673.5790593380425</x:v>
      </x:c>
      <x:c r="Q12" s="61" t="n">
        <x:f>IF(O12=0,0,P12/O12)</x:f>
        <x:v>0.4580822128600106</x:v>
      </x:c>
      <x:c r="R12" s="61" t="n">
        <x:f>IFERROR(VLOOKUP(A12&amp;"|"&amp;B12,'17_资源突破模拟'!$A$6:$P$26,15,FALSE),0)</x:f>
        <x:v>0</x:v>
      </x:c>
      <x:c r="S12" s="35" t="str">
        <x:f>IF(N12&lt;5000,"Lv10",IF(N12&lt;30000,"Lv20",IF(N12&lt;100000,"Lv35","Lv50+")))</x:f>
        <x:v>Lv10</x:v>
      </x:c>
      <x:c r="T12" s="35" t="n">
        <x:f>IF(LEFT(M12,2)="凡人",1,IF(LEFT(M12,2)="炼气",2,3))</x:f>
        <x:v>2</x:v>
      </x:c>
      <x:c r="U12" s="35" t="str">
        <x:f>IF(B12&lt;=1,"理解采药→丹药→修炼",IF(B12&lt;=7,"炼气大圆满与筑基准备",IF(B12&lt;=30,"筑基Build与洞府",IF(B12&lt;=90,"金丹扩展锚点",IF(B12&lt;=180,"元婴自动化锚点","化神长期身份")))))</x:f>
        <x:v>理解采药→丹药→修炼</x:v>
      </x:c>
      <x:c r="V12" s="39" t="n">
        <x:f>IF(B12&lt;=1,'05_采集行动'!$U$6,IF(B12&lt;=7,AVERAGE('05_采集行动'!$U$7,'05_采集行动'!$U$10),IF(B12&lt;=30,AVERAGE('05_采集行动'!$U$8,'05_采集行动'!$U$11),AVERAGE('05_采集行动'!$U$9,'05_采集行动'!$U$13))))</x:f>
        <x:v>93.37420800000001</x:v>
      </x:c>
      <x:c r="W12" s="39" t="n">
        <x:f>IF(B12&lt;=1,MAX(0,'06_炼丹配方'!$W$6),IF(B12&lt;=7,MAX(0,MAX('06_炼丹配方'!$W$6:$W$10)),MAX(0,(MAX('06_炼丹配方'!$W$6:$W$14)+MAX('07_炼器配方'!$T$6:$T$21))/2)))</x:f>
        <x:v>182.39385600000006</x:v>
      </x:c>
      <x:c r="X12" s="39" t="n">
        <x:f>IF(B12&lt;=1,'10_怪物秘境'!$T$6,IF(B12&lt;=7,'10_怪物秘境'!$T$8,IF(B12&lt;=30,'10_怪物秘境'!$T$10,'10_怪物秘境'!$T$11)))</x:f>
        <x:v>1528.8</x:v>
      </x:c>
      <x:c r="Y12" s="39" t="n">
        <x:f>F12*H6*'01_核心假设'!$B$6/'06_炼丹配方'!$N$7*IF("聚气丹"="",0,IFERROR(VLOOKUP("聚气丹",'14_市场基准价'!$A$6:$J$80,4,FALSE),0))+I12*'01_核心假设'!$B$39</x:f>
        <x:v>290.688</x:v>
      </x:c>
      <x:c r="Z12" s="39" t="n">
        <x:f>MAX(0,(O12-Y12)*'01_核心假设'!$B$47)</x:f>
        <x:v>4997.240573201928</x:v>
      </x:c>
      <x:c r="AA12" s="39" t="n">
        <x:f>MAX(0,O12-Y12-Z12)</x:f>
        <x:v>9280.589635946439</x:v>
      </x:c>
    </x:row>
    <x:row r="13">
      <x:c r="A13" s="30" t="str">
        <x:v>均衡散修</x:v>
      </x:c>
      <x:c r="B13" s="30" t="n">
        <x:v>7</x:v>
      </x:c>
      <x:c r="C13" s="41" t="n">
        <x:f>B13*'01_核心假设'!$B$7*'01_核心假设'!$B$12</x:f>
        <x:v>134.4</x:v>
      </x:c>
      <x:c r="D13" s="41" t="n">
        <x:f>B13*'01_核心假设'!$B$10*F6/'01_核心假设'!$B$8</x:f>
        <x:v>5.833333333333333</x:v>
      </x:c>
      <x:c r="E13" s="68" t="n">
        <x:f>1+'01_核心假设'!$B$30*LN(1+B13)</x:f>
        <x:v>1.3742994775023705</x:v>
      </x:c>
      <x:c r="F13" s="41" t="n">
        <x:f>C13*B6</x:f>
        <x:v>47.04</x:v>
      </x:c>
      <x:c r="G13" s="41" t="n">
        <x:f>C13*C6</x:f>
        <x:v>33.6</x:v>
      </x:c>
      <x:c r="H13" s="41" t="n">
        <x:f>C13*D6</x:f>
        <x:v>26.880000000000003</x:v>
      </x:c>
      <x:c r="I13" s="41" t="n">
        <x:f>C13*E6</x:f>
        <x:v>26.880000000000003</x:v>
      </x:c>
      <x:c r="J13" s="41" t="n">
        <x:f>B13*'01_核心假设'!$B$7/'01_核心假设'!$B$24*G6</x:f>
        <x:v>11.200000000000001</x:v>
      </x:c>
      <x:c r="K13" s="41" t="n">
        <x:f>IFERROR(VLOOKUP(A13&amp;"|"&amp;B13,'18_战力秘境模拟'!$A$6:$R$26,15,FALSE),J13*0.5)</x:f>
        <x:v>8.213376400953752</x:v>
      </x:c>
      <x:c r="L13" s="41" t="n">
        <x:f>F13*'01_核心假设'!$B$13*E13*(1+H6*'01_核心假设'!$B$34)+K13*'01_核心假设'!$B$29</x:f>
        <x:v>22755.104929775825</x:v>
      </x:c>
      <x:c r="M13" s="41" t="str">
        <x:f>IFERROR(VLOOKUP(A13&amp;"|"&amp;B13,'17_资源突破模拟'!$A$6:$P$26,16,FALSE),VLOOKUP(L13,'02_境界时间轴'!$A$6:$C$17,2,TRUE))</x:f>
        <x:v>炼气大圆满</x:v>
      </x:c>
      <x:c r="N13" s="41" t="n">
        <x:f>(G13+H13)*120*E13</x:f>
        <x:v>9974.115887921205</x:v>
      </x:c>
      <x:c r="O13" s="41" t="n">
        <x:f>G13*V13*I6*E13+H13*W13*J6*E13+I13*X13*K6*E13+P13</x:f>
        <x:v>112463.46565798388</x:v>
      </x:c>
      <x:c r="P13" s="41" t="n">
        <x:f>IFERROR(VLOOKUP(A13&amp;"|"&amp;B13,'18_战力秘境模拟'!$A$6:$R$26,17,FALSE),J13*'01_核心假设'!$B$28)</x:f>
        <x:v>39156.122118850886</x:v>
      </x:c>
      <x:c r="Q13" s="62" t="n">
        <x:f>IF(O13=0,0,P13/O13)</x:f>
        <x:v>0.3481674861232694</x:v>
      </x:c>
      <x:c r="R13" s="62" t="n">
        <x:f>IFERROR(VLOOKUP(A13&amp;"|"&amp;B13,'17_资源突破模拟'!$A$6:$P$26,15,FALSE),0)</x:f>
        <x:v>0.7118259547493252</x:v>
      </x:c>
      <x:c r="S13" s="36" t="str">
        <x:f>IF(N13&lt;5000,"Lv10",IF(N13&lt;30000,"Lv20",IF(N13&lt;100000,"Lv35","Lv50+")))</x:f>
        <x:v>Lv20</x:v>
      </x:c>
      <x:c r="T13" s="36" t="n">
        <x:f>IF(LEFT(M13,2)="凡人",1,IF(LEFT(M13,2)="炼气",2,3))</x:f>
        <x:v>2</x:v>
      </x:c>
      <x:c r="U13" s="36" t="str">
        <x:f>IF(B13&lt;=1,"理解采药→丹药→修炼",IF(B13&lt;=7,"炼气大圆满与筑基准备",IF(B13&lt;=30,"筑基Build与洞府",IF(B13&lt;=90,"金丹扩展锚点",IF(B13&lt;=180,"元婴自动化锚点","化神长期身份")))))</x:f>
        <x:v>炼气大圆满与筑基准备</x:v>
      </x:c>
      <x:c r="V13" s="41" t="n">
        <x:f>IF(B13&lt;=1,'05_采集行动'!$U$6,IF(B13&lt;=7,AVERAGE('05_采集行动'!$U$7,'05_采集行动'!$U$10),IF(B13&lt;=30,AVERAGE('05_采集行动'!$U$8,'05_采集行动'!$U$11),AVERAGE('05_采集行动'!$U$9,'05_采集行动'!$U$13))))</x:f>
        <x:v>186.16882628571432</x:v>
      </x:c>
      <x:c r="W13" s="41" t="n">
        <x:f>IF(B13&lt;=1,MAX(0,'06_炼丹配方'!$W$6),IF(B13&lt;=7,MAX(0,MAX('06_炼丹配方'!$W$6:$W$10)),MAX(0,(MAX('06_炼丹配方'!$W$6:$W$14)+MAX('07_炼器配方'!$T$6:$T$21))/2)))</x:f>
        <x:v>283.7237760000001</x:v>
      </x:c>
      <x:c r="X13" s="41" t="n">
        <x:f>IF(B13&lt;=1,'10_怪物秘境'!$T$6,IF(B13&lt;=7,'10_怪物秘境'!$T$8,IF(B13&lt;=30,'10_怪物秘境'!$T$10,'10_怪物秘境'!$T$11)))</x:f>
        <x:v>1468</x:v>
      </x:c>
      <x:c r="Y13" s="41" t="n">
        <x:f>F13*H6*'01_核心假设'!$B$6/'06_炼丹配方'!$N$7*IF("聚气丹"="",0,IFERROR(VLOOKUP("聚气丹",'14_市场基准价'!$A$6:$J$80,4,FALSE),0))+I13*'01_核心假设'!$B$39</x:f>
        <x:v>2034.8160000000003</x:v>
      </x:c>
      <x:c r="Z13" s="41" t="n">
        <x:f>MAX(0,(O13-Y13)*'01_核心假设'!$B$47)</x:f>
        <x:v>38650.027380294356</x:v>
      </x:c>
      <x:c r="AA13" s="41" t="n">
        <x:f>MAX(0,O13-Y13-Z13)</x:f>
        <x:v>71778.62227768952</x:v>
      </x:c>
    </x:row>
    <x:row r="14">
      <x:c r="A14" s="30" t="str">
        <x:v>均衡散修</x:v>
      </x:c>
      <x:c r="B14" s="30" t="n">
        <x:v>10</x:v>
      </x:c>
      <x:c r="C14" s="41" t="n">
        <x:f>B14*'01_核心假设'!$B$7*'01_核心假设'!$B$12</x:f>
        <x:v>192</x:v>
      </x:c>
      <x:c r="D14" s="41" t="n">
        <x:f>B14*'01_核心假设'!$B$10*F6/'01_核心假设'!$B$8</x:f>
        <x:v>8.333333333333334</x:v>
      </x:c>
      <x:c r="E14" s="68" t="n">
        <x:f>1+'01_核心假设'!$B$30*LN(1+B14)</x:f>
        <x:v>1.4316211491037067</x:v>
      </x:c>
      <x:c r="F14" s="41" t="n">
        <x:f>C14*B6</x:f>
        <x:v>67.19999999999999</x:v>
      </x:c>
      <x:c r="G14" s="41" t="n">
        <x:f>C14*C6</x:f>
        <x:v>48</x:v>
      </x:c>
      <x:c r="H14" s="41" t="n">
        <x:f>C14*D6</x:f>
        <x:v>38.400000000000006</x:v>
      </x:c>
      <x:c r="I14" s="41" t="n">
        <x:f>C14*E6</x:f>
        <x:v>38.400000000000006</x:v>
      </x:c>
      <x:c r="J14" s="41" t="n">
        <x:f>B14*'01_核心假设'!$B$7/'01_核心假设'!$B$24*G6</x:f>
        <x:v>16</x:v>
      </x:c>
      <x:c r="K14" s="41" t="n">
        <x:f>IFERROR(VLOOKUP(A14&amp;"|"&amp;B14,'18_战力秘境模拟'!$A$6:$R$26,15,FALSE),J14*0.5)</x:f>
        <x:v>11.73339485850536</x:v>
      </x:c>
      <x:c r="L14" s="41" t="n">
        <x:f>F14*'01_核心假设'!$B$13*E14*(1+H6*'01_核心假设'!$B$34)+K14*'01_核心假设'!$B$29</x:f>
        <x:v>33716.34438290663</x:v>
      </x:c>
      <x:c r="M14" s="41" t="str">
        <x:f>IFERROR(VLOOKUP(A14&amp;"|"&amp;B14,'17_资源突破模拟'!$A$6:$P$26,16,FALSE),VLOOKUP(L14,'02_境界时间轴'!$A$6:$C$17,2,TRUE))</x:f>
        <x:v>筑基初期</x:v>
      </x:c>
      <x:c r="N14" s="41" t="n">
        <x:f>(G14+H14)*120*E14</x:f>
        <x:v>14843.048073907232</x:v>
      </x:c>
      <x:c r="O14" s="41" t="n">
        <x:f>G14*V14*I6*E14+H14*W14*J6*E14+I14*X14*K6*E14+P14</x:f>
        <x:v>226215.16925966705</x:v>
      </x:c>
      <x:c r="P14" s="41" t="n">
        <x:f>IFERROR(VLOOKUP(A14&amp;"|"&amp;B14,'18_战力秘境模拟'!$A$6:$R$26,17,FALSE),J14*'01_核心假设'!$B$28)</x:f>
        <x:v>55937.31731264412</x:v>
      </x:c>
      <x:c r="Q14" s="62" t="n">
        <x:f>IF(O14=0,0,P14/O14)</x:f>
        <x:v>0.24727482907406176</x:v>
      </x:c>
      <x:c r="R14" s="62" t="n">
        <x:f>IFERROR(VLOOKUP(A14&amp;"|"&amp;B14,'17_资源突破模拟'!$A$6:$P$26,15,FALSE),0)</x:f>
        <x:v>1</x:v>
      </x:c>
      <x:c r="S14" s="36" t="str">
        <x:f>IF(N14&lt;5000,"Lv10",IF(N14&lt;30000,"Lv20",IF(N14&lt;100000,"Lv35","Lv50+")))</x:f>
        <x:v>Lv20</x:v>
      </x:c>
      <x:c r="T14" s="36" t="n">
        <x:f>IF(LEFT(M14,2)="凡人",1,IF(LEFT(M14,2)="炼气",2,3))</x:f>
        <x:v>3</x:v>
      </x:c>
      <x:c r="U14" s="36" t="str">
        <x:f>IF(B14&lt;=1,"理解采药→丹药→修炼",IF(B14&lt;=7,"炼气大圆满与筑基准备",IF(B14&lt;=30,"筑基Build与洞府",IF(B14&lt;=90,"金丹扩展锚点",IF(B14&lt;=180,"元婴自动化锚点","化神长期身份")))))</x:f>
        <x:v>筑基Build与洞府</x:v>
      </x:c>
      <x:c r="V14" s="41" t="n">
        <x:f>IF(B14&lt;=1,'05_采集行动'!$U$6,IF(B14&lt;=7,AVERAGE('05_采集行动'!$U$7,'05_采集行动'!$U$10),IF(B14&lt;=30,AVERAGE('05_采集行动'!$U$8,'05_采集行动'!$U$11),AVERAGE('05_采集行动'!$U$9,'05_采集行动'!$U$13))))</x:f>
        <x:v>369.4600889164087</x:v>
      </x:c>
      <x:c r="W14" s="41" t="n">
        <x:f>IF(B14&lt;=1,MAX(0,'06_炼丹配方'!$W$6),IF(B14&lt;=7,MAX(0,MAX('06_炼丹配方'!$W$6:$W$10)),MAX(0,(MAX('06_炼丹配方'!$W$6:$W$14)+MAX('07_炼器配方'!$T$6:$T$21))/2)))</x:f>
        <x:v>377.1858651428572</x:v>
      </x:c>
      <x:c r="X14" s="41" t="n">
        <x:f>IF(B14&lt;=1,'10_怪物秘境'!$T$6,IF(B14&lt;=7,'10_怪物秘境'!$T$8,IF(B14&lt;=30,'10_怪物秘境'!$T$10,'10_怪物秘境'!$T$11)))</x:f>
        <x:v>2258.4</x:v>
      </x:c>
      <x:c r="Y14" s="41" t="n">
        <x:f>F14*H6*'01_核心假设'!$B$6/'06_炼丹配方'!$N$7*IF("聚气丹"="",0,IFERROR(VLOOKUP("聚气丹",'14_市场基准价'!$A$6:$J$80,4,FALSE),0))+I14*'01_核心假设'!$B$39</x:f>
        <x:v>2906.8799999999997</x:v>
      </x:c>
      <x:c r="Z14" s="41" t="n">
        <x:f>MAX(0,(O14-Y14)*'01_核心假设'!$B$47)</x:f>
        <x:v>78157.90124088345</x:v>
      </x:c>
      <x:c r="AA14" s="41" t="n">
        <x:f>MAX(0,O14-Y14-Z14)</x:f>
        <x:v>145150.3880187836</x:v>
      </x:c>
    </x:row>
    <x:row r="15">
      <x:c r="A15" s="30" t="str">
        <x:v>均衡散修</x:v>
      </x:c>
      <x:c r="B15" s="30" t="n">
        <x:v>30</x:v>
      </x:c>
      <x:c r="C15" s="41" t="n">
        <x:f>B15*'01_核心假设'!$B$7*'01_核心假设'!$B$12</x:f>
        <x:v>576</x:v>
      </x:c>
      <x:c r="D15" s="41" t="n">
        <x:f>B15*'01_核心假设'!$B$10*F6/'01_核心假设'!$B$8</x:f>
        <x:v>25</x:v>
      </x:c>
      <x:c r="E15" s="68" t="n">
        <x:f>1+'01_核心假设'!$B$30*LN(1+B15)</x:f>
        <x:v>1.6181176968073263</x:v>
      </x:c>
      <x:c r="F15" s="41" t="n">
        <x:f>C15*B6</x:f>
        <x:v>201.6</x:v>
      </x:c>
      <x:c r="G15" s="41" t="n">
        <x:f>C15*C6</x:f>
        <x:v>144</x:v>
      </x:c>
      <x:c r="H15" s="41" t="n">
        <x:f>C15*D6</x:f>
        <x:v>115.2</x:v>
      </x:c>
      <x:c r="I15" s="41" t="n">
        <x:f>C15*E6</x:f>
        <x:v>115.2</x:v>
      </x:c>
      <x:c r="J15" s="41" t="n">
        <x:f>B15*'01_核心假设'!$B$7/'01_核心假设'!$B$24*G6</x:f>
        <x:v>48</x:v>
      </x:c>
      <x:c r="K15" s="41" t="n">
        <x:f>IFERROR(VLOOKUP(A15&amp;"|"&amp;B15,'18_战力秘境模拟'!$A$6:$R$26,15,FALSE),J15*0.5)</x:f>
        <x:v>32.113794527795065</x:v>
      </x:c>
      <x:c r="L15" s="41" t="n">
        <x:f>F15*'01_核心假设'!$B$13*E15*(1+H6*'01_核心假设'!$B$34)+K15*'01_核心假设'!$B$29</x:f>
        <x:v>112024.09548275507</x:v>
      </x:c>
      <x:c r="M15" s="41" t="str">
        <x:f>IFERROR(VLOOKUP(A15&amp;"|"&amp;B15,'17_资源突破模拟'!$A$6:$P$26,16,FALSE),VLOOKUP(L15,'02_境界时间轴'!$A$6:$C$17,2,TRUE))</x:f>
        <x:v>筑基后期</x:v>
      </x:c>
      <x:c r="N15" s="41" t="n">
        <x:f>(G15+H15)*120*E15</x:f>
        <x:v>50329.93284149508</x:v>
      </x:c>
      <x:c r="O15" s="41" t="n">
        <x:f>G15*V15*I6*E15+H15*W15*J6*E15+I15*X15*K6*E15+P15</x:f>
        <x:v>829119.6146333977</x:v>
      </x:c>
      <x:c r="P15" s="41" t="n">
        <x:f>IFERROR(VLOOKUP(A15&amp;"|"&amp;B15,'18_战力秘境模拟'!$A$6:$R$26,17,FALSE),J15*'01_核心假设'!$B$28)</x:f>
        <x:v>251740.03530338552</x:v>
      </x:c>
      <x:c r="Q15" s="62" t="n">
        <x:f>IF(O15=0,0,P15/O15)</x:f>
        <x:v>0.30362330218745887</x:v>
      </x:c>
      <x:c r="R15" s="62" t="n">
        <x:f>IFERROR(VLOOKUP(A15&amp;"|"&amp;B15,'17_资源突破模拟'!$A$6:$P$26,15,FALSE),0)</x:f>
        <x:v>1</x:v>
      </x:c>
      <x:c r="S15" s="36" t="str">
        <x:f>IF(N15&lt;5000,"Lv10",IF(N15&lt;30000,"Lv20",IF(N15&lt;100000,"Lv35","Lv50+")))</x:f>
        <x:v>Lv35</x:v>
      </x:c>
      <x:c r="T15" s="36" t="n">
        <x:f>IF(LEFT(M15,2)="凡人",1,IF(LEFT(M15,2)="炼气",2,3))</x:f>
        <x:v>3</x:v>
      </x:c>
      <x:c r="U15" s="36" t="str">
        <x:f>IF(B15&lt;=1,"理解采药→丹药→修炼",IF(B15&lt;=7,"炼气大圆满与筑基准备",IF(B15&lt;=30,"筑基Build与洞府",IF(B15&lt;=90,"金丹扩展锚点",IF(B15&lt;=180,"元婴自动化锚点","化神长期身份")))))</x:f>
        <x:v>筑基Build与洞府</x:v>
      </x:c>
      <x:c r="V15" s="41" t="n">
        <x:f>IF(B15&lt;=1,'05_采集行动'!$U$6,IF(B15&lt;=7,AVERAGE('05_采集行动'!$U$7,'05_采集行动'!$U$10),IF(B15&lt;=30,AVERAGE('05_采集行动'!$U$8,'05_采集行动'!$U$11),AVERAGE('05_采集行动'!$U$9,'05_采集行动'!$U$13))))</x:f>
        <x:v>369.4600889164087</x:v>
      </x:c>
      <x:c r="W15" s="41" t="n">
        <x:f>IF(B15&lt;=1,MAX(0,'06_炼丹配方'!$W$6),IF(B15&lt;=7,MAX(0,MAX('06_炼丹配方'!$W$6:$W$10)),MAX(0,(MAX('06_炼丹配方'!$W$6:$W$14)+MAX('07_炼器配方'!$T$6:$T$21))/2)))</x:f>
        <x:v>377.1858651428572</x:v>
      </x:c>
      <x:c r="X15" s="41" t="n">
        <x:f>IF(B15&lt;=1,'10_怪物秘境'!$T$6,IF(B15&lt;=7,'10_怪物秘境'!$T$8,IF(B15&lt;=30,'10_怪物秘境'!$T$10,'10_怪物秘境'!$T$11)))</x:f>
        <x:v>2258.4</x:v>
      </x:c>
      <x:c r="Y15" s="41" t="n">
        <x:f>F15*H6*'01_核心假设'!$B$6/'06_炼丹配方'!$N$7*IF("聚气丹"="",0,IFERROR(VLOOKUP("聚气丹",'14_市场基准价'!$A$6:$J$80,4,FALSE),0))+I15*'01_核心假设'!$B$39</x:f>
        <x:v>8720.64</x:v>
      </x:c>
      <x:c r="Z15" s="41" t="n">
        <x:f>MAX(0,(O15-Y15)*'01_核心假设'!$B$47)</x:f>
        <x:v>287139.6411216892</x:v>
      </x:c>
      <x:c r="AA15" s="41" t="n">
        <x:f>MAX(0,O15-Y15-Z15)</x:f>
        <x:v>533259.3335117085</x:v>
      </x:c>
    </x:row>
    <x:row r="16">
      <x:c r="A16" s="30" t="str">
        <x:v>均衡散修</x:v>
      </x:c>
      <x:c r="B16" s="30" t="n">
        <x:v>90</x:v>
      </x:c>
      <x:c r="C16" s="41" t="n">
        <x:f>B16*'01_核心假设'!$B$7*'01_核心假设'!$B$12</x:f>
        <x:v>1728</x:v>
      </x:c>
      <x:c r="D16" s="41" t="n">
        <x:f>B16*'01_核心假设'!$B$10*F6/'01_核心假设'!$B$8</x:f>
        <x:v>75</x:v>
      </x:c>
      <x:c r="E16" s="68" t="n">
        <x:f>1+'01_核心假设'!$B$30*LN(1+B16)</x:f>
        <x:v>1.811954711173033</x:v>
      </x:c>
      <x:c r="F16" s="41" t="n">
        <x:f>C16*B6</x:f>
        <x:v>604.8</x:v>
      </x:c>
      <x:c r="G16" s="41" t="n">
        <x:f>C16*C6</x:f>
        <x:v>432</x:v>
      </x:c>
      <x:c r="H16" s="41" t="n">
        <x:f>C16*D6</x:f>
        <x:v>345.6</x:v>
      </x:c>
      <x:c r="I16" s="41" t="n">
        <x:f>C16*E6</x:f>
        <x:v>345.6</x:v>
      </x:c>
      <x:c r="J16" s="41" t="n">
        <x:f>B16*'01_核心假设'!$B$7/'01_核心假设'!$B$24*G6</x:f>
        <x:v>144</x:v>
      </x:c>
      <x:c r="K16" s="41" t="n">
        <x:f>IFERROR(VLOOKUP(A16&amp;"|"&amp;B16,'18_战力秘境模拟'!$A$6:$R$26,15,FALSE),J16*0.5)</x:f>
        <x:v>73.37506766278457</x:v>
      </x:c>
      <x:c r="L16" s="41" t="n">
        <x:f>F16*'01_核心假设'!$B$13*E16*(1+H6*'01_核心假设'!$B$34)+K16*'01_核心假设'!$B$29</x:f>
        <x:v>365978.78224835015</x:v>
      </x:c>
      <x:c r="M16" s="41" t="str">
        <x:f>IFERROR(VLOOKUP(A16&amp;"|"&amp;B16,'17_资源突破模拟'!$A$6:$P$26,16,FALSE),VLOOKUP(L16,'02_境界时间轴'!$A$6:$C$17,2,TRUE))</x:f>
        <x:v>金丹</x:v>
      </x:c>
      <x:c r="N16" s="41" t="n">
        <x:f>(G16+H16)*120*E16</x:f>
        <x:v>169077.11800897805</x:v>
      </x:c>
      <x:c r="O16" s="41" t="n">
        <x:f>G16*V16*I6*E16+H16*W16*J6*E16+I16*X16*K6*E16+P16</x:f>
        <x:v>2661867.3398627243</x:v>
      </x:c>
      <x:c r="P16" s="41" t="n">
        <x:f>IFERROR(VLOOKUP(A16&amp;"|"&amp;B16,'18_战力秘境模拟'!$A$6:$R$26,17,FALSE),J16*'01_核心假设'!$B$28)</x:f>
        <x:v>475397.0633871813</x:v>
      </x:c>
      <x:c r="Q16" s="62" t="n">
        <x:f>IF(O16=0,0,P16/O16)</x:f>
        <x:v>0.17859532526955235</x:v>
      </x:c>
      <x:c r="R16" s="62" t="n">
        <x:f>IFERROR(VLOOKUP(A16&amp;"|"&amp;B16,'17_资源突破模拟'!$A$6:$P$26,15,FALSE),0)</x:f>
        <x:v>1</x:v>
      </x:c>
      <x:c r="S16" s="36" t="str">
        <x:f>IF(N16&lt;5000,"Lv10",IF(N16&lt;30000,"Lv20",IF(N16&lt;100000,"Lv35","Lv50+")))</x:f>
        <x:v>Lv50+</x:v>
      </x:c>
      <x:c r="T16" s="36" t="n">
        <x:f>IF(LEFT(M16,2)="凡人",1,IF(LEFT(M16,2)="炼气",2,3))</x:f>
        <x:v>3</x:v>
      </x:c>
      <x:c r="U16" s="36" t="str">
        <x:f>IF(B16&lt;=1,"理解采药→丹药→修炼",IF(B16&lt;=7,"炼气大圆满与筑基准备",IF(B16&lt;=30,"筑基Build与洞府",IF(B16&lt;=90,"金丹扩展锚点",IF(B16&lt;=180,"元婴自动化锚点","化神长期身份")))))</x:f>
        <x:v>金丹扩展锚点</x:v>
      </x:c>
      <x:c r="V16" s="41" t="n">
        <x:f>IF(B16&lt;=1,'05_采集行动'!$U$6,IF(B16&lt;=7,AVERAGE('05_采集行动'!$U$7,'05_采集行动'!$U$10),IF(B16&lt;=30,AVERAGE('05_采集行动'!$U$8,'05_采集行动'!$U$11),AVERAGE('05_采集行动'!$U$9,'05_采集行动'!$U$13))))</x:f>
        <x:v>973.2027876923078</x:v>
      </x:c>
      <x:c r="W16" s="41" t="n">
        <x:f>IF(B16&lt;=1,MAX(0,'06_炼丹配方'!$W$6),IF(B16&lt;=7,MAX(0,MAX('06_炼丹配方'!$W$6:$W$10)),MAX(0,(MAX('06_炼丹配方'!$W$6:$W$14)+MAX('07_炼器配方'!$T$6:$T$21))/2)))</x:f>
        <x:v>377.1858651428572</x:v>
      </x:c>
      <x:c r="X16" s="41" t="n">
        <x:f>IF(B16&lt;=1,'10_怪物秘境'!$T$6,IF(B16&lt;=7,'10_怪物秘境'!$T$8,IF(B16&lt;=30,'10_怪物秘境'!$T$10,'10_怪物秘境'!$T$11)))</x:f>
        <x:v>1897.894736842105</x:v>
      </x:c>
      <x:c r="Y16" s="41" t="n">
        <x:f>F16*H6*'01_核心假设'!$B$6/'06_炼丹配方'!$N$7*IF("聚气丹"="",0,IFERROR(VLOOKUP("聚气丹",'14_市场基准价'!$A$6:$J$80,4,FALSE),0))+I16*'01_核心假设'!$B$39</x:f>
        <x:v>26161.920000000002</x:v>
      </x:c>
      <x:c r="Z16" s="41" t="n">
        <x:f>MAX(0,(O16-Y16)*'01_核心假设'!$B$47)</x:f>
        <x:v>922496.8969519534</x:v>
      </x:c>
      <x:c r="AA16" s="41" t="n">
        <x:f>MAX(0,O16-Y16-Z16)</x:f>
        <x:v>1713208.522910771</x:v>
      </x:c>
    </x:row>
    <x:row r="17">
      <x:c r="A17" s="30" t="str">
        <x:v>均衡散修</x:v>
      </x:c>
      <x:c r="B17" s="30" t="n">
        <x:v>180</x:v>
      </x:c>
      <x:c r="C17" s="41" t="n">
        <x:f>B17*'01_核心假设'!$B$7*'01_核心假设'!$B$12</x:f>
        <x:v>3456</x:v>
      </x:c>
      <x:c r="D17" s="41" t="n">
        <x:f>B17*'01_核心假设'!$B$10*F6/'01_核心假设'!$B$8</x:f>
        <x:v>150</x:v>
      </x:c>
      <x:c r="E17" s="68" t="n">
        <x:f>1+'01_核心假设'!$B$30*LN(1+B17)</x:f>
        <x:v>1.9357294656278485</x:v>
      </x:c>
      <x:c r="F17" s="41" t="n">
        <x:f>C17*B6</x:f>
        <x:v>1209.6</x:v>
      </x:c>
      <x:c r="G17" s="41" t="n">
        <x:f>C17*C6</x:f>
        <x:v>864</x:v>
      </x:c>
      <x:c r="H17" s="41" t="n">
        <x:f>C17*D6</x:f>
        <x:v>691.2</x:v>
      </x:c>
      <x:c r="I17" s="41" t="n">
        <x:f>C17*E6</x:f>
        <x:v>691.2</x:v>
      </x:c>
      <x:c r="J17" s="41" t="n">
        <x:f>B17*'01_核心假设'!$B$7/'01_核心假设'!$B$24*G6</x:f>
        <x:v>288</x:v>
      </x:c>
      <x:c r="K17" s="41" t="n">
        <x:f>IFERROR(VLOOKUP(A17&amp;"|"&amp;B17,'18_战力秘境模拟'!$A$6:$R$26,15,FALSE),J17*0.5)</x:f>
        <x:v>167.06055473820615</x:v>
      </x:c>
      <x:c r="L17" s="41" t="n">
        <x:f>F17*'01_核心假设'!$B$13*E17*(1+H6*'01_核心假设'!$B$34)+K17*'01_核心假设'!$B$29</x:f>
        <x:v>785043.409676021</x:v>
      </x:c>
      <x:c r="M17" s="41" t="str">
        <x:f>IFERROR(VLOOKUP(A17&amp;"|"&amp;B17,'17_资源突破模拟'!$A$6:$P$26,16,FALSE),VLOOKUP(L17,'02_境界时间轴'!$A$6:$C$17,2,TRUE))</x:f>
        <x:v>元婴</x:v>
      </x:c>
      <x:c r="N17" s="41" t="n">
        <x:f>(G17+H17)*120*E17</x:f>
        <x:v>361253.5757933316</x:v>
      </x:c>
      <x:c r="O17" s="41" t="n">
        <x:f>G17*V17*I6*E17+H17*W17*J6*E17+I17*X17*K6*E17+P17</x:f>
        <x:v>5754041.7655098345</x:v>
      </x:c>
      <x:c r="P17" s="41" t="n">
        <x:f>IFERROR(VLOOKUP(A17&amp;"|"&amp;B17,'18_战力秘境模拟'!$A$6:$R$26,17,FALSE),J17*'01_核心假设'!$B$28)</x:f>
        <x:v>1082385.3341488377</x:v>
      </x:c>
      <x:c r="Q17" s="62" t="n">
        <x:f>IF(O17=0,0,P17/O17)</x:f>
        <x:v>0.1881087031096538</x:v>
      </x:c>
      <x:c r="R17" s="62" t="n">
        <x:f>IFERROR(VLOOKUP(A17&amp;"|"&amp;B17,'17_资源突破模拟'!$A$6:$P$26,15,FALSE),0)</x:f>
        <x:v>1</x:v>
      </x:c>
      <x:c r="S17" s="36" t="str">
        <x:f>IF(N17&lt;5000,"Lv10",IF(N17&lt;30000,"Lv20",IF(N17&lt;100000,"Lv35","Lv50+")))</x:f>
        <x:v>Lv50+</x:v>
      </x:c>
      <x:c r="T17" s="36" t="n">
        <x:f>IF(LEFT(M17,2)="凡人",1,IF(LEFT(M17,2)="炼气",2,3))</x:f>
        <x:v>3</x:v>
      </x:c>
      <x:c r="U17" s="36" t="str">
        <x:f>IF(B17&lt;=1,"理解采药→丹药→修炼",IF(B17&lt;=7,"炼气大圆满与筑基准备",IF(B17&lt;=30,"筑基Build与洞府",IF(B17&lt;=90,"金丹扩展锚点",IF(B17&lt;=180,"元婴自动化锚点","化神长期身份")))))</x:f>
        <x:v>元婴自动化锚点</x:v>
      </x:c>
      <x:c r="V17" s="41" t="n">
        <x:f>IF(B17&lt;=1,'05_采集行动'!$U$6,IF(B17&lt;=7,AVERAGE('05_采集行动'!$U$7,'05_采集行动'!$U$10),IF(B17&lt;=30,AVERAGE('05_采集行动'!$U$8,'05_采集行动'!$U$11),AVERAGE('05_采集行动'!$U$9,'05_采集行动'!$U$13))))</x:f>
        <x:v>973.2027876923078</x:v>
      </x:c>
      <x:c r="W17" s="41" t="n">
        <x:f>IF(B17&lt;=1,MAX(0,'06_炼丹配方'!$W$6),IF(B17&lt;=7,MAX(0,MAX('06_炼丹配方'!$W$6:$W$10)),MAX(0,(MAX('06_炼丹配方'!$W$6:$W$14)+MAX('07_炼器配方'!$T$6:$T$21))/2)))</x:f>
        <x:v>377.1858651428572</x:v>
      </x:c>
      <x:c r="X17" s="41" t="n">
        <x:f>IF(B17&lt;=1,'10_怪物秘境'!$T$6,IF(B17&lt;=7,'10_怪物秘境'!$T$8,IF(B17&lt;=30,'10_怪物秘境'!$T$10,'10_怪物秘境'!$T$11)))</x:f>
        <x:v>1897.894736842105</x:v>
      </x:c>
      <x:c r="Y17" s="41" t="n">
        <x:f>F17*H6*'01_核心假设'!$B$6/'06_炼丹配方'!$N$7*IF("聚气丹"="",0,IFERROR(VLOOKUP("聚气丹",'14_市场基准价'!$A$6:$J$80,4,FALSE),0))+I17*'01_核心假设'!$B$39</x:f>
        <x:v>52323.840000000004</x:v>
      </x:c>
      <x:c r="Z17" s="41" t="n">
        <x:f>MAX(0,(O17-Y17)*'01_核心假设'!$B$47)</x:f>
        <x:v>1995601.273928442</x:v>
      </x:c>
      <x:c r="AA17" s="41" t="n">
        <x:f>MAX(0,O17-Y17-Z17)</x:f>
        <x:v>3706116.6515813926</x:v>
      </x:c>
    </x:row>
    <x:row r="18">
      <x:c r="A18" s="30" t="str">
        <x:v>均衡散修</x:v>
      </x:c>
      <x:c r="B18" s="30" t="n">
        <x:v>365</x:v>
      </x:c>
      <x:c r="C18" s="41" t="n">
        <x:f>B18*'01_核心假设'!$B$7*'01_核心假设'!$B$12</x:f>
        <x:v>7008</x:v>
      </x:c>
      <x:c r="D18" s="41" t="n">
        <x:f>B18*'01_核心假设'!$B$10*F6/'01_核心假设'!$B$8</x:f>
        <x:v>304.1666666666667</x:v>
      </x:c>
      <x:c r="E18" s="68" t="n">
        <x:f>1+'01_核心假设'!$B$30*LN(1+B18)</x:f>
        <x:v>2.062474000012246</x:v>
      </x:c>
      <x:c r="F18" s="41" t="n">
        <x:f>C18*B6</x:f>
        <x:v>2452.7999999999997</x:v>
      </x:c>
      <x:c r="G18" s="41" t="n">
        <x:f>C18*C6</x:f>
        <x:v>1752</x:v>
      </x:c>
      <x:c r="H18" s="41" t="n">
        <x:f>C18*D6</x:f>
        <x:v>1401.6000000000001</x:v>
      </x:c>
      <x:c r="I18" s="41" t="n">
        <x:f>C18*E6</x:f>
        <x:v>1401.6000000000001</x:v>
      </x:c>
      <x:c r="J18" s="41" t="n">
        <x:f>B18*'01_核心假设'!$B$7/'01_核心假设'!$B$24*G6</x:f>
        <x:v>584</x:v>
      </x:c>
      <x:c r="K18" s="41" t="n">
        <x:f>IFERROR(VLOOKUP(A18&amp;"|"&amp;B18,'18_战力秘境模拟'!$A$6:$R$26,15,FALSE),J18*0.5)</x:f>
        <x:v>366.708541127047</x:v>
      </x:c>
      <x:c r="L18" s="41" t="n">
        <x:f>F18*'01_核心假设'!$B$13*E18*(1+H6*'01_核心假设'!$B$34)+K18*'01_核心假设'!$B$29</x:f>
        <x:v>1697854.7831599417</x:v>
      </x:c>
      <x:c r="M18" s="41" t="str">
        <x:f>IFERROR(VLOOKUP(A18&amp;"|"&amp;B18,'17_资源突破模拟'!$A$6:$P$26,16,FALSE),VLOOKUP(L18,'02_境界时间轴'!$A$6:$C$17,2,TRUE))</x:f>
        <x:v>化神</x:v>
      </x:c>
      <x:c r="N18" s="41" t="n">
        <x:f>(G18+H18)*120*E18</x:f>
        <x:v>780506.1607726344</x:v>
      </x:c>
      <x:c r="O18" s="41" t="n">
        <x:f>G18*V18*I6*E18+H18*W18*J6*E18+I18*X18*K6*E18+P18</x:f>
        <x:v>12469248.6766557</x:v>
      </x:c>
      <x:c r="P18" s="41" t="n">
        <x:f>IFERROR(VLOOKUP(A18&amp;"|"&amp;B18,'18_战力秘境模拟'!$A$6:$R$26,17,FALSE),J18*'01_核心假设'!$B$28)</x:f>
        <x:v>2375904.637962138</x:v>
      </x:c>
      <x:c r="Q18" s="62" t="n">
        <x:f>IF(O18=0,0,P18/O18)</x:f>
        <x:v>0.19054112237012216</x:v>
      </x:c>
      <x:c r="R18" s="62" t="n">
        <x:f>IFERROR(VLOOKUP(A18&amp;"|"&amp;B18,'17_资源突破模拟'!$A$6:$P$26,15,FALSE),0)</x:f>
        <x:v>1</x:v>
      </x:c>
      <x:c r="S18" s="36" t="str">
        <x:f>IF(N18&lt;5000,"Lv10",IF(N18&lt;30000,"Lv20",IF(N18&lt;100000,"Lv35","Lv50+")))</x:f>
        <x:v>Lv50+</x:v>
      </x:c>
      <x:c r="T18" s="36" t="n">
        <x:f>IF(LEFT(M18,2)="凡人",1,IF(LEFT(M18,2)="炼气",2,3))</x:f>
        <x:v>3</x:v>
      </x:c>
      <x:c r="U18" s="36" t="str">
        <x:f>IF(B18&lt;=1,"理解采药→丹药→修炼",IF(B18&lt;=7,"炼气大圆满与筑基准备",IF(B18&lt;=30,"筑基Build与洞府",IF(B18&lt;=90,"金丹扩展锚点",IF(B18&lt;=180,"元婴自动化锚点","化神长期身份")))))</x:f>
        <x:v>化神长期身份</x:v>
      </x:c>
      <x:c r="V18" s="41" t="n">
        <x:f>IF(B18&lt;=1,'05_采集行动'!$U$6,IF(B18&lt;=7,AVERAGE('05_采集行动'!$U$7,'05_采集行动'!$U$10),IF(B18&lt;=30,AVERAGE('05_采集行动'!$U$8,'05_采集行动'!$U$11),AVERAGE('05_采集行动'!$U$9,'05_采集行动'!$U$13))))</x:f>
        <x:v>973.2027876923078</x:v>
      </x:c>
      <x:c r="W18" s="41" t="n">
        <x:f>IF(B18&lt;=1,MAX(0,'06_炼丹配方'!$W$6),IF(B18&lt;=7,MAX(0,MAX('06_炼丹配方'!$W$6:$W$10)),MAX(0,(MAX('06_炼丹配方'!$W$6:$W$14)+MAX('07_炼器配方'!$T$6:$T$21))/2)))</x:f>
        <x:v>377.1858651428572</x:v>
      </x:c>
      <x:c r="X18" s="41" t="n">
        <x:f>IF(B18&lt;=1,'10_怪物秘境'!$T$6,IF(B18&lt;=7,'10_怪物秘境'!$T$8,IF(B18&lt;=30,'10_怪物秘境'!$T$10,'10_怪物秘境'!$T$11)))</x:f>
        <x:v>1897.894736842105</x:v>
      </x:c>
      <x:c r="Y18" s="41" t="n">
        <x:f>F18*H6*'01_核心假设'!$B$6/'06_炼丹配方'!$N$7*IF("聚气丹"="",0,IFERROR(VLOOKUP("聚气丹",'14_市场基准价'!$A$6:$J$80,4,FALSE),0))+I18*'01_核心假设'!$B$39</x:f>
        <x:v>106101.12</x:v>
      </x:c>
      <x:c r="Z18" s="41" t="n">
        <x:f>MAX(0,(O18-Y18)*'01_核心假设'!$B$47)</x:f>
        <x:v>4327101.644829495</x:v>
      </x:c>
      <x:c r="AA18" s="41" t="n">
        <x:f>MAX(0,O18-Y18-Z18)</x:f>
        <x:v>8036045.911826206</x:v>
      </x:c>
    </x:row>
    <x:row r="19">
      <x:c r="A19" s="30" t="str">
        <x:v>专精丹师</x:v>
      </x:c>
      <x:c r="B19" s="30" t="n">
        <x:v>1</x:v>
      </x:c>
      <x:c r="C19" s="41" t="n">
        <x:f>B19*'01_核心假设'!$B$7*'01_核心假设'!$B$12</x:f>
        <x:v>19.200000000000003</x:v>
      </x:c>
      <x:c r="D19" s="41" t="n">
        <x:f>B19*'01_核心假设'!$B$10*F7/'01_核心假设'!$B$8</x:f>
        <x:v>1</x:v>
      </x:c>
      <x:c r="E19" s="68" t="n">
        <x:f>1+'01_核心假设'!$B$30*LN(1+B19)</x:f>
        <x:v>1.12476649250079</x:v>
      </x:c>
      <x:c r="F19" s="41" t="n">
        <x:f>C19*B7</x:f>
        <x:v>4.800000000000001</x:v>
      </x:c>
      <x:c r="G19" s="41" t="n">
        <x:f>C19*C7</x:f>
        <x:v>3.8400000000000007</x:v>
      </x:c>
      <x:c r="H19" s="41" t="n">
        <x:f>C19*D7</x:f>
        <x:v>7.6800000000000015</x:v>
      </x:c>
      <x:c r="I19" s="41" t="n">
        <x:f>C19*E7</x:f>
        <x:v>2.8800000000000003</x:v>
      </x:c>
      <x:c r="J19" s="41" t="n">
        <x:f>B19*'01_核心假设'!$B$7/'01_核心假设'!$B$24*G7</x:f>
        <x:v>1.2</x:v>
      </x:c>
      <x:c r="K19" s="41" t="n">
        <x:f>IFERROR(VLOOKUP(A19&amp;"|"&amp;B19,'18_战力秘境模拟'!$A$6:$R$26,15,FALSE),J19*0.5)</x:f>
        <x:v>0.9380314493661712</x:v>
      </x:c>
      <x:c r="L19" s="41" t="n">
        <x:f>F19*'01_核心假设'!$B$13*E19*(1+H7*'01_核心假设'!$B$34)+K19*'01_核心假设'!$B$29</x:f>
        <x:v>2067.0887183041064</x:v>
      </x:c>
      <x:c r="M19" s="41" t="str">
        <x:f>IFERROR(VLOOKUP(A19&amp;"|"&amp;B19,'17_资源突破模拟'!$A$6:$P$26,16,FALSE),VLOOKUP(L19,'02_境界时间轴'!$A$6:$C$17,2,TRUE))</x:f>
        <x:v>炼气初期</x:v>
      </x:c>
      <x:c r="N19" s="41" t="n">
        <x:f>(G19+H19)*120*E19</x:f>
        <x:v>1554.8771992330926</x:v>
      </x:c>
      <x:c r="O19" s="41" t="n">
        <x:f>G19*V19*I7*E19+H19*W19*J7*E19+I19*X19*K7*E19+P19</x:f>
        <x:v>11156.40155477627</x:v>
      </x:c>
      <x:c r="P19" s="41" t="n">
        <x:f>IFERROR(VLOOKUP(A19&amp;"|"&amp;B19,'18_战力秘境模拟'!$A$6:$R$26,17,FALSE),J19*'01_核心假设'!$B$28)</x:f>
        <x:v>4614.551912011943</x:v>
      </x:c>
      <x:c r="Q19" s="62" t="n">
        <x:f>IF(O19=0,0,P19/O19)</x:f>
        <x:v>0.4136236840665138</x:v>
      </x:c>
      <x:c r="R19" s="62" t="n">
        <x:f>IFERROR(VLOOKUP(A19&amp;"|"&amp;B19,'17_资源突破模拟'!$A$6:$P$26,15,FALSE),0)</x:f>
        <x:v>0</x:v>
      </x:c>
      <x:c r="S19" s="36" t="str">
        <x:f>IF(N19&lt;5000,"Lv10",IF(N19&lt;30000,"Lv20",IF(N19&lt;100000,"Lv35","Lv50+")))</x:f>
        <x:v>Lv10</x:v>
      </x:c>
      <x:c r="T19" s="36" t="n">
        <x:f>IF(LEFT(M19,2)="凡人",1,IF(LEFT(M19,2)="炼气",2,3))</x:f>
        <x:v>2</x:v>
      </x:c>
      <x:c r="U19" s="36" t="str">
        <x:f>IF(B19&lt;=1,"理解采药→丹药→修炼",IF(B19&lt;=7,"炼气大圆满与筑基准备",IF(B19&lt;=30,"筑基Build与洞府",IF(B19&lt;=90,"金丹扩展锚点",IF(B19&lt;=180,"元婴自动化锚点","化神长期身份")))))</x:f>
        <x:v>理解采药→丹药→修炼</x:v>
      </x:c>
      <x:c r="V19" s="41" t="n">
        <x:f>IF(B19&lt;=1,'05_采集行动'!$U$6,IF(B19&lt;=7,AVERAGE('05_采集行动'!$U$7,'05_采集行动'!$U$10),IF(B19&lt;=30,AVERAGE('05_采集行动'!$U$8,'05_采集行动'!$U$11),AVERAGE('05_采集行动'!$U$9,'05_采集行动'!$U$13))))</x:f>
        <x:v>93.37420800000001</x:v>
      </x:c>
      <x:c r="W19" s="41" t="n">
        <x:f>IF(B19&lt;=1,MAX(0,'06_炼丹配方'!$W$6),IF(B19&lt;=7,MAX(0,MAX('06_炼丹配方'!$W$6:$W$10)),MAX(0,(MAX('06_炼丹配方'!$W$6:$W$14)+MAX('07_炼器配方'!$T$6:$T$21))/2)))</x:f>
        <x:v>182.39385600000006</x:v>
      </x:c>
      <x:c r="X19" s="41" t="n">
        <x:f>IF(B19&lt;=1,'10_怪物秘境'!$T$6,IF(B19&lt;=7,'10_怪物秘境'!$T$8,IF(B19&lt;=30,'10_怪物秘境'!$T$10,'10_怪物秘境'!$T$11)))</x:f>
        <x:v>1528.8</x:v>
      </x:c>
      <x:c r="Y19" s="41" t="n">
        <x:f>F19*H7*'01_核心假设'!$B$6/'06_炼丹配方'!$N$7*IF("聚气丹"="",0,IFERROR(VLOOKUP("聚气丹",'14_市场基准价'!$A$6:$J$80,4,FALSE),0))+I19*'01_核心假设'!$B$39</x:f>
        <x:v>276.4800000000001</x:v>
      </x:c>
      <x:c r="Z19" s="41" t="n">
        <x:f>MAX(0,(O19-Y19)*'01_核心假设'!$B$47)</x:f>
        <x:v>3807.9725441716946</x:v>
      </x:c>
      <x:c r="AA19" s="41" t="n">
        <x:f>MAX(0,O19-Y19-Z19)</x:f>
        <x:v>7071.949010604576</x:v>
      </x:c>
    </x:row>
    <x:row r="20">
      <x:c r="A20" s="30" t="str">
        <x:v>专精丹师</x:v>
      </x:c>
      <x:c r="B20" s="30" t="n">
        <x:v>7</x:v>
      </x:c>
      <x:c r="C20" s="41" t="n">
        <x:f>B20*'01_核心假设'!$B$7*'01_核心假设'!$B$12</x:f>
        <x:v>134.4</x:v>
      </x:c>
      <x:c r="D20" s="41" t="n">
        <x:f>B20*'01_核心假设'!$B$10*F7/'01_核心假设'!$B$8</x:f>
        <x:v>7</x:v>
      </x:c>
      <x:c r="E20" s="68" t="n">
        <x:f>1+'01_核心假设'!$B$30*LN(1+B20)</x:f>
        <x:v>1.3742994775023705</x:v>
      </x:c>
      <x:c r="F20" s="41" t="n">
        <x:f>C20*B7</x:f>
        <x:v>33.6</x:v>
      </x:c>
      <x:c r="G20" s="41" t="n">
        <x:f>C20*C7</x:f>
        <x:v>26.880000000000003</x:v>
      </x:c>
      <x:c r="H20" s="41" t="n">
        <x:f>C20*D7</x:f>
        <x:v>53.760000000000005</x:v>
      </x:c>
      <x:c r="I20" s="41" t="n">
        <x:f>C20*E7</x:f>
        <x:v>20.16</x:v>
      </x:c>
      <x:c r="J20" s="41" t="n">
        <x:f>B20*'01_核心假设'!$B$7/'01_核心假设'!$B$24*G7</x:f>
        <x:v>8.4</x:v>
      </x:c>
      <x:c r="K20" s="41" t="n">
        <x:f>IFERROR(VLOOKUP(A20&amp;"|"&amp;B20,'18_战力秘境模拟'!$A$6:$R$26,15,FALSE),J20*0.5)</x:f>
        <x:v>5.679269165480503</x:v>
      </x:c>
      <x:c r="L20" s="41" t="n">
        <x:f>F20*'01_核心假设'!$B$13*E20*(1+H7*'01_核心假设'!$B$34)+K20*'01_核心假设'!$B$29</x:f>
        <x:v>16976.645703023496</x:v>
      </x:c>
      <x:c r="M20" s="41" t="str">
        <x:f>IFERROR(VLOOKUP(A20&amp;"|"&amp;B20,'17_资源突破模拟'!$A$6:$P$26,16,FALSE),VLOOKUP(L20,'02_境界时间轴'!$A$6:$C$17,2,TRUE))</x:f>
        <x:v>炼气大圆满</x:v>
      </x:c>
      <x:c r="N20" s="41" t="n">
        <x:f>(G20+H20)*120*E20</x:f>
        <x:v>13298.82118389494</x:v>
      </x:c>
      <x:c r="O20" s="41" t="n">
        <x:f>G20*V20*I7*E20+H20*W20*J7*E20+I20*X20*K7*E20+P20</x:f>
        <x:v>94038.7999522649</x:v>
      </x:c>
      <x:c r="P20" s="41" t="n">
        <x:f>IFERROR(VLOOKUP(A20&amp;"|"&amp;B20,'18_战力秘境模拟'!$A$6:$R$26,17,FALSE),J20*'01_核心假设'!$B$28)</x:f>
        <x:v>27075.120648745135</x:v>
      </x:c>
      <x:c r="Q20" s="62" t="n">
        <x:f>IF(O20=0,0,P20/O20)</x:f>
        <x:v>0.2879143572917642</x:v>
      </x:c>
      <x:c r="R20" s="62" t="n">
        <x:f>IFERROR(VLOOKUP(A20&amp;"|"&amp;B20,'17_资源突破模拟'!$A$6:$P$26,15,FALSE),0)</x:f>
        <x:v>0.49220332767497693</x:v>
      </x:c>
      <x:c r="S20" s="36" t="str">
        <x:f>IF(N20&lt;5000,"Lv10",IF(N20&lt;30000,"Lv20",IF(N20&lt;100000,"Lv35","Lv50+")))</x:f>
        <x:v>Lv20</x:v>
      </x:c>
      <x:c r="T20" s="36" t="n">
        <x:f>IF(LEFT(M20,2)="凡人",1,IF(LEFT(M20,2)="炼气",2,3))</x:f>
        <x:v>2</x:v>
      </x:c>
      <x:c r="U20" s="36" t="str">
        <x:f>IF(B20&lt;=1,"理解采药→丹药→修炼",IF(B20&lt;=7,"炼气大圆满与筑基准备",IF(B20&lt;=30,"筑基Build与洞府",IF(B20&lt;=90,"金丹扩展锚点",IF(B20&lt;=180,"元婴自动化锚点","化神长期身份")))))</x:f>
        <x:v>炼气大圆满与筑基准备</x:v>
      </x:c>
      <x:c r="V20" s="41" t="n">
        <x:f>IF(B20&lt;=1,'05_采集行动'!$U$6,IF(B20&lt;=7,AVERAGE('05_采集行动'!$U$7,'05_采集行动'!$U$10),IF(B20&lt;=30,AVERAGE('05_采集行动'!$U$8,'05_采集行动'!$U$11),AVERAGE('05_采集行动'!$U$9,'05_采集行动'!$U$13))))</x:f>
        <x:v>186.16882628571432</x:v>
      </x:c>
      <x:c r="W20" s="41" t="n">
        <x:f>IF(B20&lt;=1,MAX(0,'06_炼丹配方'!$W$6),IF(B20&lt;=7,MAX(0,MAX('06_炼丹配方'!$W$6:$W$10)),MAX(0,(MAX('06_炼丹配方'!$W$6:$W$14)+MAX('07_炼器配方'!$T$6:$T$21))/2)))</x:f>
        <x:v>283.7237760000001</x:v>
      </x:c>
      <x:c r="X20" s="41" t="n">
        <x:f>IF(B20&lt;=1,'10_怪物秘境'!$T$6,IF(B20&lt;=7,'10_怪物秘境'!$T$8,IF(B20&lt;=30,'10_怪物秘境'!$T$10,'10_怪物秘境'!$T$11)))</x:f>
        <x:v>1468</x:v>
      </x:c>
      <x:c r="Y20" s="41" t="n">
        <x:f>F20*H7*'01_核心假设'!$B$6/'06_炼丹配方'!$N$7*IF("聚气丹"="",0,IFERROR(VLOOKUP("聚气丹",'14_市场基准价'!$A$6:$J$80,4,FALSE),0))+I20*'01_核心假设'!$B$39</x:f>
        <x:v>1935.36</x:v>
      </x:c>
      <x:c r="Z20" s="41" t="n">
        <x:f>MAX(0,(O20-Y20)*'01_核心假设'!$B$47)</x:f>
        <x:v>32236.203983292715</x:v>
      </x:c>
      <x:c r="AA20" s="41" t="n">
        <x:f>MAX(0,O20-Y20-Z20)</x:f>
        <x:v>59867.23596897219</x:v>
      </x:c>
    </x:row>
    <x:row r="21">
      <x:c r="A21" s="30" t="str">
        <x:v>专精丹师</x:v>
      </x:c>
      <x:c r="B21" s="30" t="n">
        <x:v>10</x:v>
      </x:c>
      <x:c r="C21" s="41" t="n">
        <x:f>B21*'01_核心假设'!$B$7*'01_核心假设'!$B$12</x:f>
        <x:v>192</x:v>
      </x:c>
      <x:c r="D21" s="41" t="n">
        <x:f>B21*'01_核心假设'!$B$10*F7/'01_核心假设'!$B$8</x:f>
        <x:v>10</x:v>
      </x:c>
      <x:c r="E21" s="68" t="n">
        <x:f>1+'01_核心假设'!$B$30*LN(1+B21)</x:f>
        <x:v>1.4316211491037067</x:v>
      </x:c>
      <x:c r="F21" s="41" t="n">
        <x:f>C21*B7</x:f>
        <x:v>48</x:v>
      </x:c>
      <x:c r="G21" s="41" t="n">
        <x:f>C21*C7</x:f>
        <x:v>38.400000000000006</x:v>
      </x:c>
      <x:c r="H21" s="41" t="n">
        <x:f>C21*D7</x:f>
        <x:v>76.80000000000001</x:v>
      </x:c>
      <x:c r="I21" s="41" t="n">
        <x:f>C21*E7</x:f>
        <x:v>28.799999999999997</x:v>
      </x:c>
      <x:c r="J21" s="41" t="n">
        <x:f>B21*'01_核心假设'!$B$7/'01_核心假设'!$B$24*G7</x:f>
        <x:v>12</x:v>
      </x:c>
      <x:c r="K21" s="41" t="n">
        <x:f>IFERROR(VLOOKUP(A21&amp;"|"&amp;B21,'18_战力秘境模拟'!$A$6:$R$26,15,FALSE),J21*0.5)</x:f>
        <x:v>8.113241664972147</x:v>
      </x:c>
      <x:c r="L21" s="41" t="n">
        <x:f>F21*'01_核心假设'!$B$13*E21*(1+H7*'01_核心假设'!$B$34)+K21*'01_核心假设'!$B$29</x:f>
        <x:v>25162.389862662094</x:v>
      </x:c>
      <x:c r="M21" s="41" t="str">
        <x:f>IFERROR(VLOOKUP(A21&amp;"|"&amp;B21,'17_资源突破模拟'!$A$6:$P$26,16,FALSE),VLOOKUP(L21,'02_境界时间轴'!$A$6:$C$17,2,TRUE))</x:f>
        <x:v>炼气大圆满</x:v>
      </x:c>
      <x:c r="N21" s="41" t="n">
        <x:f>(G21+H21)*120*E21</x:f>
        <x:v>19790.730765209646</x:v>
      </x:c>
      <x:c r="O21" s="41" t="n">
        <x:f>G21*V21*I7*E21+H21*W21*J7*E21+I21*X21*K7*E21+P21</x:f>
        <x:v>187945.31378869727</x:v>
      </x:c>
      <x:c r="P21" s="41" t="n">
        <x:f>IFERROR(VLOOKUP(A21&amp;"|"&amp;B21,'18_战力秘境模拟'!$A$6:$R$26,17,FALSE),J21*'01_核心假设'!$B$28)</x:f>
        <x:v>38678.74378392162</x:v>
      </x:c>
      <x:c r="Q21" s="62" t="n">
        <x:f>IF(O21=0,0,P21/O21)</x:f>
        <x:v>0.20579786217711857</x:v>
      </x:c>
      <x:c r="R21" s="62" t="n">
        <x:f>IFERROR(VLOOKUP(A21&amp;"|"&amp;B21,'17_资源突破模拟'!$A$6:$P$26,15,FALSE),0)</x:f>
        <x:v>0.7031476109642528</x:v>
      </x:c>
      <x:c r="S21" s="36" t="str">
        <x:f>IF(N21&lt;5000,"Lv10",IF(N21&lt;30000,"Lv20",IF(N21&lt;100000,"Lv35","Lv50+")))</x:f>
        <x:v>Lv20</x:v>
      </x:c>
      <x:c r="T21" s="36" t="n">
        <x:f>IF(LEFT(M21,2)="凡人",1,IF(LEFT(M21,2)="炼气",2,3))</x:f>
        <x:v>2</x:v>
      </x:c>
      <x:c r="U21" s="36" t="str">
        <x:f>IF(B21&lt;=1,"理解采药→丹药→修炼",IF(B21&lt;=7,"炼气大圆满与筑基准备",IF(B21&lt;=30,"筑基Build与洞府",IF(B21&lt;=90,"金丹扩展锚点",IF(B21&lt;=180,"元婴自动化锚点","化神长期身份")))))</x:f>
        <x:v>筑基Build与洞府</x:v>
      </x:c>
      <x:c r="V21" s="41" t="n">
        <x:f>IF(B21&lt;=1,'05_采集行动'!$U$6,IF(B21&lt;=7,AVERAGE('05_采集行动'!$U$7,'05_采集行动'!$U$10),IF(B21&lt;=30,AVERAGE('05_采集行动'!$U$8,'05_采集行动'!$U$11),AVERAGE('05_采集行动'!$U$9,'05_采集行动'!$U$13))))</x:f>
        <x:v>369.4600889164087</x:v>
      </x:c>
      <x:c r="W21" s="41" t="n">
        <x:f>IF(B21&lt;=1,MAX(0,'06_炼丹配方'!$W$6),IF(B21&lt;=7,MAX(0,MAX('06_炼丹配方'!$W$6:$W$10)),MAX(0,(MAX('06_炼丹配方'!$W$6:$W$14)+MAX('07_炼器配方'!$T$6:$T$21))/2)))</x:f>
        <x:v>377.1858651428572</x:v>
      </x:c>
      <x:c r="X21" s="41" t="n">
        <x:f>IF(B21&lt;=1,'10_怪物秘境'!$T$6,IF(B21&lt;=7,'10_怪物秘境'!$T$8,IF(B21&lt;=30,'10_怪物秘境'!$T$10,'10_怪物秘境'!$T$11)))</x:f>
        <x:v>2258.4</x:v>
      </x:c>
      <x:c r="Y21" s="41" t="n">
        <x:f>F21*H7*'01_核心假设'!$B$6/'06_炼丹配方'!$N$7*IF("聚气丹"="",0,IFERROR(VLOOKUP("聚气丹",'14_市场基准价'!$A$6:$J$80,4,FALSE),0))+I21*'01_核心假设'!$B$39</x:f>
        <x:v>2764.8</x:v>
      </x:c>
      <x:c r="Z21" s="41" t="n">
        <x:f>MAX(0,(O21-Y21)*'01_核心假设'!$B$47)</x:f>
        <x:v>64813.17982604404</x:v>
      </x:c>
      <x:c r="AA21" s="41" t="n">
        <x:f>MAX(0,O21-Y21-Z21)</x:f>
        <x:v>120367.33396265324</x:v>
      </x:c>
    </x:row>
    <x:row r="22">
      <x:c r="A22" s="30" t="str">
        <x:v>专精丹师</x:v>
      </x:c>
      <x:c r="B22" s="30" t="n">
        <x:v>30</x:v>
      </x:c>
      <x:c r="C22" s="41" t="n">
        <x:f>B22*'01_核心假设'!$B$7*'01_核心假设'!$B$12</x:f>
        <x:v>576</x:v>
      </x:c>
      <x:c r="D22" s="41" t="n">
        <x:f>B22*'01_核心假设'!$B$10*F7/'01_核心假设'!$B$8</x:f>
        <x:v>30</x:v>
      </x:c>
      <x:c r="E22" s="68" t="n">
        <x:f>1+'01_核心假设'!$B$30*LN(1+B22)</x:f>
        <x:v>1.6181176968073263</x:v>
      </x:c>
      <x:c r="F22" s="41" t="n">
        <x:f>C22*B7</x:f>
        <x:v>144</x:v>
      </x:c>
      <x:c r="G22" s="41" t="n">
        <x:f>C22*C7</x:f>
        <x:v>115.2</x:v>
      </x:c>
      <x:c r="H22" s="41" t="n">
        <x:f>C22*D7</x:f>
        <x:v>230.4</x:v>
      </x:c>
      <x:c r="I22" s="41" t="n">
        <x:f>C22*E7</x:f>
        <x:v>86.39999999999999</x:v>
      </x:c>
      <x:c r="J22" s="41" t="n">
        <x:f>B22*'01_核心假设'!$B$7/'01_核心假设'!$B$24*G7</x:f>
        <x:v>36</x:v>
      </x:c>
      <x:c r="K22" s="41" t="n">
        <x:f>IFERROR(VLOOKUP(A22&amp;"|"&amp;B22,'18_战力秘境模拟'!$A$6:$R$26,15,FALSE),J22*0.5)</x:f>
        <x:v>22.20559172560317</x:v>
      </x:c>
      <x:c r="L22" s="41" t="n">
        <x:f>F22*'01_核心假设'!$B$13*E22*(1+H7*'01_核心假设'!$B$34)+K22*'01_核心假设'!$B$29</x:f>
        <x:v>83729.38718122029</x:v>
      </x:c>
      <x:c r="M22" s="41" t="str">
        <x:f>IFERROR(VLOOKUP(A22&amp;"|"&amp;B22,'17_资源突破模拟'!$A$6:$P$26,16,FALSE),VLOOKUP(L22,'02_境界时间轴'!$A$6:$C$17,2,TRUE))</x:f>
        <x:v>筑基中期</x:v>
      </x:c>
      <x:c r="N22" s="41" t="n">
        <x:f>(G22+H22)*120*E22</x:f>
        <x:v>67106.57712199344</x:v>
      </x:c>
      <x:c r="O22" s="41" t="n">
        <x:f>G22*V22*I7*E22+H22*W22*J7*E22+I22*X22*K7*E22+P22</x:f>
        <x:v>680203.9804995472</x:v>
      </x:c>
      <x:c r="P22" s="41" t="n">
        <x:f>IFERROR(VLOOKUP(A22&amp;"|"&amp;B22,'18_战力秘境模拟'!$A$6:$R$26,17,FALSE),J22*'01_核心假设'!$B$28)</x:f>
        <x:v>174069.63353700325</x:v>
      </x:c>
      <x:c r="Q22" s="62" t="n">
        <x:f>IF(O22=0,0,P22/O22)</x:f>
        <x:v>0.25590799014314075</x:v>
      </x:c>
      <x:c r="R22" s="62" t="n">
        <x:f>IFERROR(VLOOKUP(A22&amp;"|"&amp;B22,'17_资源突破模拟'!$A$6:$P$26,15,FALSE),0)</x:f>
        <x:v>1</x:v>
      </x:c>
      <x:c r="S22" s="36" t="str">
        <x:f>IF(N22&lt;5000,"Lv10",IF(N22&lt;30000,"Lv20",IF(N22&lt;100000,"Lv35","Lv50+")))</x:f>
        <x:v>Lv35</x:v>
      </x:c>
      <x:c r="T22" s="36" t="n">
        <x:f>IF(LEFT(M22,2)="凡人",1,IF(LEFT(M22,2)="炼气",2,3))</x:f>
        <x:v>3</x:v>
      </x:c>
      <x:c r="U22" s="36" t="str">
        <x:f>IF(B22&lt;=1,"理解采药→丹药→修炼",IF(B22&lt;=7,"炼气大圆满与筑基准备",IF(B22&lt;=30,"筑基Build与洞府",IF(B22&lt;=90,"金丹扩展锚点",IF(B22&lt;=180,"元婴自动化锚点","化神长期身份")))))</x:f>
        <x:v>筑基Build与洞府</x:v>
      </x:c>
      <x:c r="V22" s="41" t="n">
        <x:f>IF(B22&lt;=1,'05_采集行动'!$U$6,IF(B22&lt;=7,AVERAGE('05_采集行动'!$U$7,'05_采集行动'!$U$10),IF(B22&lt;=30,AVERAGE('05_采集行动'!$U$8,'05_采集行动'!$U$11),AVERAGE('05_采集行动'!$U$9,'05_采集行动'!$U$13))))</x:f>
        <x:v>369.4600889164087</x:v>
      </x:c>
      <x:c r="W22" s="41" t="n">
        <x:f>IF(B22&lt;=1,MAX(0,'06_炼丹配方'!$W$6),IF(B22&lt;=7,MAX(0,MAX('06_炼丹配方'!$W$6:$W$10)),MAX(0,(MAX('06_炼丹配方'!$W$6:$W$14)+MAX('07_炼器配方'!$T$6:$T$21))/2)))</x:f>
        <x:v>377.1858651428572</x:v>
      </x:c>
      <x:c r="X22" s="41" t="n">
        <x:f>IF(B22&lt;=1,'10_怪物秘境'!$T$6,IF(B22&lt;=7,'10_怪物秘境'!$T$8,IF(B22&lt;=30,'10_怪物秘境'!$T$10,'10_怪物秘境'!$T$11)))</x:f>
        <x:v>2258.4</x:v>
      </x:c>
      <x:c r="Y22" s="41" t="n">
        <x:f>F22*H7*'01_核心假设'!$B$6/'06_炼丹配方'!$N$7*IF("聚气丹"="",0,IFERROR(VLOOKUP("聚气丹",'14_市场基准价'!$A$6:$J$80,4,FALSE),0))+I22*'01_核心假设'!$B$39</x:f>
        <x:v>8294.4</x:v>
      </x:c>
      <x:c r="Z22" s="41" t="n">
        <x:f>MAX(0,(O22-Y22)*'01_核心假设'!$B$47)</x:f>
        <x:v>235168.3531748415</x:v>
      </x:c>
      <x:c r="AA22" s="41" t="n">
        <x:f>MAX(0,O22-Y22-Z22)</x:f>
        <x:v>436741.2273247057</x:v>
      </x:c>
    </x:row>
    <x:row r="23">
      <x:c r="A23" s="30" t="str">
        <x:v>专精丹师</x:v>
      </x:c>
      <x:c r="B23" s="30" t="n">
        <x:v>90</x:v>
      </x:c>
      <x:c r="C23" s="41" t="n">
        <x:f>B23*'01_核心假设'!$B$7*'01_核心假设'!$B$12</x:f>
        <x:v>1728</x:v>
      </x:c>
      <x:c r="D23" s="41" t="n">
        <x:f>B23*'01_核心假设'!$B$10*F7/'01_核心假设'!$B$8</x:f>
        <x:v>90</x:v>
      </x:c>
      <x:c r="E23" s="68" t="n">
        <x:f>1+'01_核心假设'!$B$30*LN(1+B23)</x:f>
        <x:v>1.811954711173033</x:v>
      </x:c>
      <x:c r="F23" s="41" t="n">
        <x:f>C23*B7</x:f>
        <x:v>432</x:v>
      </x:c>
      <x:c r="G23" s="41" t="n">
        <x:f>C23*C7</x:f>
        <x:v>345.6</x:v>
      </x:c>
      <x:c r="H23" s="41" t="n">
        <x:f>C23*D7</x:f>
        <x:v>691.2</x:v>
      </x:c>
      <x:c r="I23" s="41" t="n">
        <x:f>C23*E7</x:f>
        <x:v>259.2</x:v>
      </x:c>
      <x:c r="J23" s="41" t="n">
        <x:f>B23*'01_核心假设'!$B$7/'01_核心假设'!$B$24*G7</x:f>
        <x:v>108</x:v>
      </x:c>
      <x:c r="K23" s="41" t="n">
        <x:f>IFERROR(VLOOKUP(A23&amp;"|"&amp;B23,'18_战力秘境模拟'!$A$6:$R$26,15,FALSE),J23*0.5)</x:f>
        <x:v>50.7363523780437</x:v>
      </x:c>
      <x:c r="L23" s="41" t="n">
        <x:f>F23*'01_核心假设'!$B$13*E23*(1+H7*'01_核心假设'!$B$34)+K23*'01_核心假设'!$B$29</x:f>
        <x:v>274120.2426646608</x:v>
      </x:c>
      <x:c r="M23" s="41" t="str">
        <x:f>IFERROR(VLOOKUP(A23&amp;"|"&amp;B23,'17_资源突破模拟'!$A$6:$P$26,16,FALSE),VLOOKUP(L23,'02_境界时间轴'!$A$6:$C$17,2,TRUE))</x:f>
        <x:v>金丹</x:v>
      </x:c>
      <x:c r="N23" s="41" t="n">
        <x:f>(G23+H23)*120*E23</x:f>
        <x:v>225436.15734530412</x:v>
      </x:c>
      <x:c r="O23" s="41" t="n">
        <x:f>G23*V23*I7*E23+H23*W23*J7*E23+I23*X23*K7*E23+P23</x:f>
        <x:v>2225362.2263232544</x:v>
      </x:c>
      <x:c r="P23" s="41" t="n">
        <x:f>IFERROR(VLOOKUP(A23&amp;"|"&amp;B23,'18_战力秘境模拟'!$A$6:$R$26,17,FALSE),J23*'01_核心假设'!$B$28)</x:f>
        <x:v>328720.8270573452</x:v>
      </x:c>
      <x:c r="Q23" s="62" t="n">
        <x:f>IF(O23=0,0,P23/O23)</x:f>
        <x:v>0.1477156496901891</x:v>
      </x:c>
      <x:c r="R23" s="62" t="n">
        <x:f>IFERROR(VLOOKUP(A23&amp;"|"&amp;B23,'17_资源突破模拟'!$A$6:$P$26,15,FALSE),0)</x:f>
        <x:v>1</x:v>
      </x:c>
      <x:c r="S23" s="36" t="str">
        <x:f>IF(N23&lt;5000,"Lv10",IF(N23&lt;30000,"Lv20",IF(N23&lt;100000,"Lv35","Lv50+")))</x:f>
        <x:v>Lv50+</x:v>
      </x:c>
      <x:c r="T23" s="36" t="n">
        <x:f>IF(LEFT(M23,2)="凡人",1,IF(LEFT(M23,2)="炼气",2,3))</x:f>
        <x:v>3</x:v>
      </x:c>
      <x:c r="U23" s="36" t="str">
        <x:f>IF(B23&lt;=1,"理解采药→丹药→修炼",IF(B23&lt;=7,"炼气大圆满与筑基准备",IF(B23&lt;=30,"筑基Build与洞府",IF(B23&lt;=90,"金丹扩展锚点",IF(B23&lt;=180,"元婴自动化锚点","化神长期身份")))))</x:f>
        <x:v>金丹扩展锚点</x:v>
      </x:c>
      <x:c r="V23" s="41" t="n">
        <x:f>IF(B23&lt;=1,'05_采集行动'!$U$6,IF(B23&lt;=7,AVERAGE('05_采集行动'!$U$7,'05_采集行动'!$U$10),IF(B23&lt;=30,AVERAGE('05_采集行动'!$U$8,'05_采集行动'!$U$11),AVERAGE('05_采集行动'!$U$9,'05_采集行动'!$U$13))))</x:f>
        <x:v>973.2027876923078</x:v>
      </x:c>
      <x:c r="W23" s="41" t="n">
        <x:f>IF(B23&lt;=1,MAX(0,'06_炼丹配方'!$W$6),IF(B23&lt;=7,MAX(0,MAX('06_炼丹配方'!$W$6:$W$10)),MAX(0,(MAX('06_炼丹配方'!$W$6:$W$14)+MAX('07_炼器配方'!$T$6:$T$21))/2)))</x:f>
        <x:v>377.1858651428572</x:v>
      </x:c>
      <x:c r="X23" s="41" t="n">
        <x:f>IF(B23&lt;=1,'10_怪物秘境'!$T$6,IF(B23&lt;=7,'10_怪物秘境'!$T$8,IF(B23&lt;=30,'10_怪物秘境'!$T$10,'10_怪物秘境'!$T$11)))</x:f>
        <x:v>1897.894736842105</x:v>
      </x:c>
      <x:c r="Y23" s="41" t="n">
        <x:f>F23*H7*'01_核心假设'!$B$6/'06_炼丹配方'!$N$7*IF("聚气丹"="",0,IFERROR(VLOOKUP("聚气丹",'14_市场基准价'!$A$6:$J$80,4,FALSE),0))+I23*'01_核心假设'!$B$39</x:f>
        <x:v>24883.199999999997</x:v>
      </x:c>
      <x:c r="Z23" s="41" t="n">
        <x:f>MAX(0,(O23-Y23)*'01_核心假设'!$B$47)</x:f>
        <x:v>770167.659213139</x:v>
      </x:c>
      <x:c r="AA23" s="41" t="n">
        <x:f>MAX(0,O23-Y23-Z23)</x:f>
        <x:v>1430311.3671101152</x:v>
      </x:c>
    </x:row>
    <x:row r="24">
      <x:c r="A24" s="30" t="str">
        <x:v>专精丹师</x:v>
      </x:c>
      <x:c r="B24" s="30" t="n">
        <x:v>180</x:v>
      </x:c>
      <x:c r="C24" s="41" t="n">
        <x:f>B24*'01_核心假设'!$B$7*'01_核心假设'!$B$12</x:f>
        <x:v>3456</x:v>
      </x:c>
      <x:c r="D24" s="41" t="n">
        <x:f>B24*'01_核心假设'!$B$10*F7/'01_核心假设'!$B$8</x:f>
        <x:v>180</x:v>
      </x:c>
      <x:c r="E24" s="68" t="n">
        <x:f>1+'01_核心假设'!$B$30*LN(1+B24)</x:f>
        <x:v>1.9357294656278485</x:v>
      </x:c>
      <x:c r="F24" s="41" t="n">
        <x:f>C24*B7</x:f>
        <x:v>864</x:v>
      </x:c>
      <x:c r="G24" s="41" t="n">
        <x:f>C24*C7</x:f>
        <x:v>691.2</x:v>
      </x:c>
      <x:c r="H24" s="41" t="n">
        <x:f>C24*D7</x:f>
        <x:v>1382.4</x:v>
      </x:c>
      <x:c r="I24" s="41" t="n">
        <x:f>C24*E7</x:f>
        <x:v>518.4</x:v>
      </x:c>
      <x:c r="J24" s="41" t="n">
        <x:f>B24*'01_核心假设'!$B$7/'01_核心假设'!$B$24*G7</x:f>
        <x:v>216</x:v>
      </x:c>
      <x:c r="K24" s="41" t="n">
        <x:f>IFERROR(VLOOKUP(A24&amp;"|"&amp;B24,'18_战力秘境模拟'!$A$6:$R$26,15,FALSE),J24*0.5)</x:f>
        <x:v>115.51666586016776</x:v>
      </x:c>
      <x:c r="L24" s="41" t="n">
        <x:f>F24*'01_核心假设'!$B$13*E24*(1+H7*'01_核心假设'!$B$34)+K24*'01_核心假设'!$B$29</x:f>
        <x:v>587824.5376915893</x:v>
      </x:c>
      <x:c r="M24" s="41" t="str">
        <x:f>IFERROR(VLOOKUP(A24&amp;"|"&amp;B24,'17_资源突破模拟'!$A$6:$P$26,16,FALSE),VLOOKUP(L24,'02_境界时间轴'!$A$6:$C$17,2,TRUE))</x:f>
        <x:v>元婴</x:v>
      </x:c>
      <x:c r="N24" s="41" t="n">
        <x:f>(G24+H24)*120*E24</x:f>
        <x:v>481671.4343911089</x:v>
      </x:c>
      <x:c r="O24" s="41" t="n">
        <x:f>G24*V24*I7*E24+H24*W24*J7*E24+I24*X24*K7*E24+P24</x:f>
        <x:v>4800834.692854171</x:v>
      </x:c>
      <x:c r="P24" s="41" t="n">
        <x:f>IFERROR(VLOOKUP(A24&amp;"|"&amp;B24,'18_战力秘境模拟'!$A$6:$R$26,17,FALSE),J24*'01_核心假设'!$B$28)</x:f>
        <x:v>748432.478108027</x:v>
      </x:c>
      <x:c r="Q24" s="62" t="n">
        <x:f>IF(O24=0,0,P24/O24)</x:f>
        <x:v>0.15589632345017743</x:v>
      </x:c>
      <x:c r="R24" s="62" t="n">
        <x:f>IFERROR(VLOOKUP(A24&amp;"|"&amp;B24,'17_资源突破模拟'!$A$6:$P$26,15,FALSE),0)</x:f>
        <x:v>1</x:v>
      </x:c>
      <x:c r="S24" s="36" t="str">
        <x:f>IF(N24&lt;5000,"Lv10",IF(N24&lt;30000,"Lv20",IF(N24&lt;100000,"Lv35","Lv50+")))</x:f>
        <x:v>Lv50+</x:v>
      </x:c>
      <x:c r="T24" s="36" t="n">
        <x:f>IF(LEFT(M24,2)="凡人",1,IF(LEFT(M24,2)="炼气",2,3))</x:f>
        <x:v>3</x:v>
      </x:c>
      <x:c r="U24" s="36" t="str">
        <x:f>IF(B24&lt;=1,"理解采药→丹药→修炼",IF(B24&lt;=7,"炼气大圆满与筑基准备",IF(B24&lt;=30,"筑基Build与洞府",IF(B24&lt;=90,"金丹扩展锚点",IF(B24&lt;=180,"元婴自动化锚点","化神长期身份")))))</x:f>
        <x:v>元婴自动化锚点</x:v>
      </x:c>
      <x:c r="V24" s="41" t="n">
        <x:f>IF(B24&lt;=1,'05_采集行动'!$U$6,IF(B24&lt;=7,AVERAGE('05_采集行动'!$U$7,'05_采集行动'!$U$10),IF(B24&lt;=30,AVERAGE('05_采集行动'!$U$8,'05_采集行动'!$U$11),AVERAGE('05_采集行动'!$U$9,'05_采集行动'!$U$13))))</x:f>
        <x:v>973.2027876923078</x:v>
      </x:c>
      <x:c r="W24" s="41" t="n">
        <x:f>IF(B24&lt;=1,MAX(0,'06_炼丹配方'!$W$6),IF(B24&lt;=7,MAX(0,MAX('06_炼丹配方'!$W$6:$W$10)),MAX(0,(MAX('06_炼丹配方'!$W$6:$W$14)+MAX('07_炼器配方'!$T$6:$T$21))/2)))</x:f>
        <x:v>377.1858651428572</x:v>
      </x:c>
      <x:c r="X24" s="41" t="n">
        <x:f>IF(B24&lt;=1,'10_怪物秘境'!$T$6,IF(B24&lt;=7,'10_怪物秘境'!$T$8,IF(B24&lt;=30,'10_怪物秘境'!$T$10,'10_怪物秘境'!$T$11)))</x:f>
        <x:v>1897.894736842105</x:v>
      </x:c>
      <x:c r="Y24" s="41" t="n">
        <x:f>F24*H7*'01_核心假设'!$B$6/'06_炼丹配方'!$N$7*IF("聚气丹"="",0,IFERROR(VLOOKUP("聚气丹",'14_市场基准价'!$A$6:$J$80,4,FALSE),0))+I24*'01_核心假设'!$B$39</x:f>
        <x:v>49766.399999999994</x:v>
      </x:c>
      <x:c r="Z24" s="41" t="n">
        <x:f>MAX(0,(O24-Y24)*'01_核心假设'!$B$47)</x:f>
        <x:v>1662873.9024989596</x:v>
      </x:c>
      <x:c r="AA24" s="41" t="n">
        <x:f>MAX(0,O24-Y24-Z24)</x:f>
        <x:v>3088194.3903552108</x:v>
      </x:c>
    </x:row>
    <x:row r="25">
      <x:c r="A25" s="30" t="str">
        <x:v>专精丹师</x:v>
      </x:c>
      <x:c r="B25" s="30" t="n">
        <x:v>365</x:v>
      </x:c>
      <x:c r="C25" s="41" t="n">
        <x:f>B25*'01_核心假设'!$B$7*'01_核心假设'!$B$12</x:f>
        <x:v>7008</x:v>
      </x:c>
      <x:c r="D25" s="41" t="n">
        <x:f>B25*'01_核心假设'!$B$10*F7/'01_核心假设'!$B$8</x:f>
        <x:v>365</x:v>
      </x:c>
      <x:c r="E25" s="68" t="n">
        <x:f>1+'01_核心假设'!$B$30*LN(1+B25)</x:f>
        <x:v>2.062474000012246</x:v>
      </x:c>
      <x:c r="F25" s="41" t="n">
        <x:f>C25*B7</x:f>
        <x:v>1752</x:v>
      </x:c>
      <x:c r="G25" s="41" t="n">
        <x:f>C25*C7</x:f>
        <x:v>1401.6000000000001</x:v>
      </x:c>
      <x:c r="H25" s="41" t="n">
        <x:f>C25*D7</x:f>
        <x:v>2803.2000000000003</x:v>
      </x:c>
      <x:c r="I25" s="41" t="n">
        <x:f>C25*E7</x:f>
        <x:v>1051.2</x:v>
      </x:c>
      <x:c r="J25" s="41" t="n">
        <x:f>B25*'01_核心假设'!$B$7/'01_核心假设'!$B$24*G7</x:f>
        <x:v>438</x:v>
      </x:c>
      <x:c r="K25" s="41" t="n">
        <x:f>IFERROR(VLOOKUP(A25&amp;"|"&amp;B25,'18_战力秘境模拟'!$A$6:$R$26,15,FALSE),J25*0.5)</x:f>
        <x:v>253.566427334237</x:v>
      </x:c>
      <x:c r="L25" s="41" t="n">
        <x:f>F25*'01_核心假设'!$B$13*E25*(1+H7*'01_核心假设'!$B$34)+K25*'01_核心假设'!$B$29</x:f>
        <x:v>1271219.9868833674</x:v>
      </x:c>
      <x:c r="M25" s="41" t="str">
        <x:f>IFERROR(VLOOKUP(A25&amp;"|"&amp;B25,'17_资源突破模拟'!$A$6:$P$26,16,FALSE),VLOOKUP(L25,'02_境界时间轴'!$A$6:$C$17,2,TRUE))</x:f>
        <x:v>元婴</x:v>
      </x:c>
      <x:c r="N25" s="41" t="n">
        <x:f>(G25+H25)*120*E25</x:f>
        <x:v>1040674.8810301791</x:v>
      </x:c>
      <x:c r="O25" s="41" t="n">
        <x:f>G25*V25*I7*E25+H25*W25*J7*E25+I25*X25*K7*E25+P25</x:f>
        <x:v>10398271.6563574</x:v>
      </x:c>
      <x:c r="P25" s="41" t="n">
        <x:f>IFERROR(VLOOKUP(A25&amp;"|"&amp;B25,'18_战力秘境模拟'!$A$6:$R$26,17,FALSE),J25*'01_核心假设'!$B$28)</x:f>
        <x:v>1642856.8826985217</x:v>
      </x:c>
      <x:c r="Q25" s="62" t="n">
        <x:f>IF(O25=0,0,P25/O25)</x:f>
        <x:v>0.15799326436082245</x:v>
      </x:c>
      <x:c r="R25" s="62" t="n">
        <x:f>IFERROR(VLOOKUP(A25&amp;"|"&amp;B25,'17_资源突破模拟'!$A$6:$P$26,15,FALSE),0)</x:f>
        <x:v>1</x:v>
      </x:c>
      <x:c r="S25" s="36" t="str">
        <x:f>IF(N25&lt;5000,"Lv10",IF(N25&lt;30000,"Lv20",IF(N25&lt;100000,"Lv35","Lv50+")))</x:f>
        <x:v>Lv50+</x:v>
      </x:c>
      <x:c r="T25" s="36" t="n">
        <x:f>IF(LEFT(M25,2)="凡人",1,IF(LEFT(M25,2)="炼气",2,3))</x:f>
        <x:v>3</x:v>
      </x:c>
      <x:c r="U25" s="36" t="str">
        <x:f>IF(B25&lt;=1,"理解采药→丹药→修炼",IF(B25&lt;=7,"炼气大圆满与筑基准备",IF(B25&lt;=30,"筑基Build与洞府",IF(B25&lt;=90,"金丹扩展锚点",IF(B25&lt;=180,"元婴自动化锚点","化神长期身份")))))</x:f>
        <x:v>化神长期身份</x:v>
      </x:c>
      <x:c r="V25" s="41" t="n">
        <x:f>IF(B25&lt;=1,'05_采集行动'!$U$6,IF(B25&lt;=7,AVERAGE('05_采集行动'!$U$7,'05_采集行动'!$U$10),IF(B25&lt;=30,AVERAGE('05_采集行动'!$U$8,'05_采集行动'!$U$11),AVERAGE('05_采集行动'!$U$9,'05_采集行动'!$U$13))))</x:f>
        <x:v>973.2027876923078</x:v>
      </x:c>
      <x:c r="W25" s="41" t="n">
        <x:f>IF(B25&lt;=1,MAX(0,'06_炼丹配方'!$W$6),IF(B25&lt;=7,MAX(0,MAX('06_炼丹配方'!$W$6:$W$10)),MAX(0,(MAX('06_炼丹配方'!$W$6:$W$14)+MAX('07_炼器配方'!$T$6:$T$21))/2)))</x:f>
        <x:v>377.1858651428572</x:v>
      </x:c>
      <x:c r="X25" s="41" t="n">
        <x:f>IF(B25&lt;=1,'10_怪物秘境'!$T$6,IF(B25&lt;=7,'10_怪物秘境'!$T$8,IF(B25&lt;=30,'10_怪物秘境'!$T$10,'10_怪物秘境'!$T$11)))</x:f>
        <x:v>1897.894736842105</x:v>
      </x:c>
      <x:c r="Y25" s="41" t="n">
        <x:f>F25*H7*'01_核心假设'!$B$6/'06_炼丹配方'!$N$7*IF("聚气丹"="",0,IFERROR(VLOOKUP("聚气丹",'14_市场基准价'!$A$6:$J$80,4,FALSE),0))+I25*'01_核心假设'!$B$39</x:f>
        <x:v>100915.20000000001</x:v>
      </x:c>
      <x:c r="Z25" s="41" t="n">
        <x:f>MAX(0,(O25-Y25)*'01_核心假设'!$B$47)</x:f>
        <x:v>3604074.75972509</x:v>
      </x:c>
      <x:c r="AA25" s="41" t="n">
        <x:f>MAX(0,O25-Y25-Z25)</x:f>
        <x:v>6693281.696632311</x:v>
      </x:c>
    </x:row>
    <x:row r="26">
      <x:c r="A26" s="30" t="str">
        <x:v>秘境修士</x:v>
      </x:c>
      <x:c r="B26" s="30" t="n">
        <x:v>1</x:v>
      </x:c>
      <x:c r="C26" s="41" t="n">
        <x:f>B26*'01_核心假设'!$B$7*'01_核心假设'!$B$12</x:f>
        <x:v>19.200000000000003</x:v>
      </x:c>
      <x:c r="D26" s="41" t="n">
        <x:f>B26*'01_核心假设'!$B$10*F8/'01_核心假设'!$B$8</x:f>
        <x:v>1.1666666666666667</x:v>
      </x:c>
      <x:c r="E26" s="68" t="n">
        <x:f>1+'01_核心假设'!$B$30*LN(1+B26)</x:f>
        <x:v>1.12476649250079</x:v>
      </x:c>
      <x:c r="F26" s="41" t="n">
        <x:f>C26*B8</x:f>
        <x:v>5.760000000000001</x:v>
      </x:c>
      <x:c r="G26" s="41" t="n">
        <x:f>C26*C8</x:f>
        <x:v>2.8800000000000003</x:v>
      </x:c>
      <x:c r="H26" s="41" t="n">
        <x:f>C26*D8</x:f>
        <x:v>2.8800000000000003</x:v>
      </x:c>
      <x:c r="I26" s="41" t="n">
        <x:f>C26*E8</x:f>
        <x:v>7.6800000000000015</x:v>
      </x:c>
      <x:c r="J26" s="41" t="n">
        <x:f>B26*'01_核心假设'!$B$7/'01_核心假设'!$B$24*G8</x:f>
        <x:v>2</x:v>
      </x:c>
      <x:c r="K26" s="41" t="n">
        <x:f>IFERROR(VLOOKUP(A26&amp;"|"&amp;B26,'18_战力秘境模拟'!$A$6:$R$26,15,FALSE),J26*0.5)</x:f>
        <x:v>1.8958836989646808</x:v>
      </x:c>
      <x:c r="L26" s="41" t="n">
        <x:f>F26*'01_核心假设'!$B$13*E26*(1+H8*'01_核心假设'!$B$34)+K26*'01_核心假设'!$B$29</x:f>
        <x:v>2645.9838680398634</x:v>
      </x:c>
      <x:c r="M26" s="41" t="str">
        <x:f>IFERROR(VLOOKUP(A26&amp;"|"&amp;B26,'17_资源突破模拟'!$A$6:$P$26,16,FALSE),VLOOKUP(L26,'02_境界时间轴'!$A$6:$C$17,2,TRUE))</x:f>
        <x:v>炼气中期</x:v>
      </x:c>
      <x:c r="N26" s="41" t="n">
        <x:f>(G26+H26)*120*E26</x:f>
        <x:v>777.4385996165462</x:v>
      </x:c>
      <x:c r="O26" s="41" t="n">
        <x:f>G26*V26*I8*E26+H26*W26*J8*E26+I26*X26*K8*E26+P26</x:f>
        <x:v>26608.654294487555</x:v>
      </x:c>
      <x:c r="P26" s="41" t="n">
        <x:f>IFERROR(VLOOKUP(A26&amp;"|"&amp;B26,'18_战力秘境模拟'!$A$6:$R$26,17,FALSE),J26*'01_核心假设'!$B$28)</x:f>
        <x:v>9326.610268686853</x:v>
      </x:c>
      <x:c r="Q26" s="62" t="n">
        <x:f>IF(O26=0,0,P26/O26)</x:f>
        <x:v>0.3505104078344549</x:v>
      </x:c>
      <x:c r="R26" s="62" t="n">
        <x:f>IFERROR(VLOOKUP(A26&amp;"|"&amp;B26,'17_资源突破模拟'!$A$6:$P$26,15,FALSE),0)</x:f>
        <x:v>0</x:v>
      </x:c>
      <x:c r="S26" s="36" t="str">
        <x:f>IF(N26&lt;5000,"Lv10",IF(N26&lt;30000,"Lv20",IF(N26&lt;100000,"Lv35","Lv50+")))</x:f>
        <x:v>Lv10</x:v>
      </x:c>
      <x:c r="T26" s="36" t="n">
        <x:f>IF(LEFT(M26,2)="凡人",1,IF(LEFT(M26,2)="炼气",2,3))</x:f>
        <x:v>2</x:v>
      </x:c>
      <x:c r="U26" s="36" t="str">
        <x:f>IF(B26&lt;=1,"理解采药→丹药→修炼",IF(B26&lt;=7,"炼气大圆满与筑基准备",IF(B26&lt;=30,"筑基Build与洞府",IF(B26&lt;=90,"金丹扩展锚点",IF(B26&lt;=180,"元婴自动化锚点","化神长期身份")))))</x:f>
        <x:v>理解采药→丹药→修炼</x:v>
      </x:c>
      <x:c r="V26" s="41" t="n">
        <x:f>IF(B26&lt;=1,'05_采集行动'!$U$6,IF(B26&lt;=7,AVERAGE('05_采集行动'!$U$7,'05_采集行动'!$U$10),IF(B26&lt;=30,AVERAGE('05_采集行动'!$U$8,'05_采集行动'!$U$11),AVERAGE('05_采集行动'!$U$9,'05_采集行动'!$U$13))))</x:f>
        <x:v>93.37420800000001</x:v>
      </x:c>
      <x:c r="W26" s="41" t="n">
        <x:f>IF(B26&lt;=1,MAX(0,'06_炼丹配方'!$W$6),IF(B26&lt;=7,MAX(0,MAX('06_炼丹配方'!$W$6:$W$10)),MAX(0,(MAX('06_炼丹配方'!$W$6:$W$14)+MAX('07_炼器配方'!$T$6:$T$21))/2)))</x:f>
        <x:v>182.39385600000006</x:v>
      </x:c>
      <x:c r="X26" s="41" t="n">
        <x:f>IF(B26&lt;=1,'10_怪物秘境'!$T$6,IF(B26&lt;=7,'10_怪物秘境'!$T$8,IF(B26&lt;=30,'10_怪物秘境'!$T$10,'10_怪物秘境'!$T$11)))</x:f>
        <x:v>1528.8</x:v>
      </x:c>
      <x:c r="Y26" s="41" t="n">
        <x:f>F26*H8*'01_核心假设'!$B$6/'06_炼丹配方'!$N$7*IF("聚气丹"="",0,IFERROR(VLOOKUP("聚气丹",'14_市场基准价'!$A$6:$J$80,4,FALSE),0))+I26*'01_核心假设'!$B$39</x:f>
        <x:v>334.08000000000004</x:v>
      </x:c>
      <x:c r="Z26" s="41" t="n">
        <x:f>MAX(0,(O26-Y26)*'01_核心假设'!$B$47)</x:f>
        <x:v>9196.101003070642</x:v>
      </x:c>
      <x:c r="AA26" s="41" t="n">
        <x:f>MAX(0,O26-Y26-Z26)</x:f>
        <x:v>17078.47329141691</x:v>
      </x:c>
    </x:row>
    <x:row r="27">
      <x:c r="A27" s="30" t="str">
        <x:v>秘境修士</x:v>
      </x:c>
      <x:c r="B27" s="30" t="n">
        <x:v>7</x:v>
      </x:c>
      <x:c r="C27" s="41" t="n">
        <x:f>B27*'01_核心假设'!$B$7*'01_核心假设'!$B$12</x:f>
        <x:v>134.4</x:v>
      </x:c>
      <x:c r="D27" s="41" t="n">
        <x:f>B27*'01_核心假设'!$B$10*F8/'01_核心假设'!$B$8</x:f>
        <x:v>8.166666666666666</x:v>
      </x:c>
      <x:c r="E27" s="68" t="n">
        <x:f>1+'01_核心假设'!$B$30*LN(1+B27)</x:f>
        <x:v>1.3742994775023705</x:v>
      </x:c>
      <x:c r="F27" s="41" t="n">
        <x:f>C27*B8</x:f>
        <x:v>40.32</x:v>
      </x:c>
      <x:c r="G27" s="41" t="n">
        <x:f>C27*C8</x:f>
        <x:v>20.16</x:v>
      </x:c>
      <x:c r="H27" s="41" t="n">
        <x:f>C27*D8</x:f>
        <x:v>20.16</x:v>
      </x:c>
      <x:c r="I27" s="41" t="n">
        <x:f>C27*E8</x:f>
        <x:v>53.760000000000005</x:v>
      </x:c>
      <x:c r="J27" s="41" t="n">
        <x:f>B27*'01_核心假设'!$B$7/'01_核心假设'!$B$24*G8</x:f>
        <x:v>14</x:v>
      </x:c>
      <x:c r="K27" s="41" t="n">
        <x:f>IFERROR(VLOOKUP(A27&amp;"|"&amp;B27,'18_战力秘境模拟'!$A$6:$R$26,15,FALSE),J27*0.5)</x:f>
        <x:v>11.478542473328226</x:v>
      </x:c>
      <x:c r="L27" s="41" t="n">
        <x:f>F27*'01_核心假设'!$B$13*E27*(1+H8*'01_核心假设'!$B$34)+K27*'01_核心假设'!$B$29</x:f>
        <x:v>21209.95666735811</x:v>
      </x:c>
      <x:c r="M27" s="41" t="str">
        <x:f>IFERROR(VLOOKUP(A27&amp;"|"&amp;B27,'17_资源突破模拟'!$A$6:$P$26,16,FALSE),VLOOKUP(L27,'02_境界时间轴'!$A$6:$C$17,2,TRUE))</x:f>
        <x:v>炼气大圆满</x:v>
      </x:c>
      <x:c r="N27" s="41" t="n">
        <x:f>(G27+H27)*120*E27</x:f>
        <x:v>6649.410591947469</x:v>
      </x:c>
      <x:c r="O27" s="41" t="n">
        <x:f>G27*V27*I8*E27+H27*W27*J8*E27+I27*X27*K8*E27+P27</x:f>
        <x:v>201620.30534804167</x:v>
      </x:c>
      <x:c r="P27" s="41" t="n">
        <x:f>IFERROR(VLOOKUP(A27&amp;"|"&amp;B27,'18_战力秘境模拟'!$A$6:$R$26,17,FALSE),J27*'01_核心假设'!$B$28)</x:f>
        <x:v>54722.344245646054</x:v>
      </x:c>
      <x:c r="Q27" s="62" t="n">
        <x:f>IF(O27=0,0,P27/O27)</x:f>
        <x:v>0.2714128626637236</x:v>
      </x:c>
      <x:c r="R27" s="62" t="n">
        <x:f>IFERROR(VLOOKUP(A27&amp;"|"&amp;B27,'17_资源突破模拟'!$A$6:$P$26,15,FALSE),0)</x:f>
        <x:v>0.880081189516934</x:v>
      </x:c>
      <x:c r="S27" s="36" t="str">
        <x:f>IF(N27&lt;5000,"Lv10",IF(N27&lt;30000,"Lv20",IF(N27&lt;100000,"Lv35","Lv50+")))</x:f>
        <x:v>Lv20</x:v>
      </x:c>
      <x:c r="T27" s="36" t="n">
        <x:f>IF(LEFT(M27,2)="凡人",1,IF(LEFT(M27,2)="炼气",2,3))</x:f>
        <x:v>2</x:v>
      </x:c>
      <x:c r="U27" s="36" t="str">
        <x:f>IF(B27&lt;=1,"理解采药→丹药→修炼",IF(B27&lt;=7,"炼气大圆满与筑基准备",IF(B27&lt;=30,"筑基Build与洞府",IF(B27&lt;=90,"金丹扩展锚点",IF(B27&lt;=180,"元婴自动化锚点","化神长期身份")))))</x:f>
        <x:v>炼气大圆满与筑基准备</x:v>
      </x:c>
      <x:c r="V27" s="41" t="n">
        <x:f>IF(B27&lt;=1,'05_采集行动'!$U$6,IF(B27&lt;=7,AVERAGE('05_采集行动'!$U$7,'05_采集行动'!$U$10),IF(B27&lt;=30,AVERAGE('05_采集行动'!$U$8,'05_采集行动'!$U$11),AVERAGE('05_采集行动'!$U$9,'05_采集行动'!$U$13))))</x:f>
        <x:v>186.16882628571432</x:v>
      </x:c>
      <x:c r="W27" s="41" t="n">
        <x:f>IF(B27&lt;=1,MAX(0,'06_炼丹配方'!$W$6),IF(B27&lt;=7,MAX(0,MAX('06_炼丹配方'!$W$6:$W$10)),MAX(0,(MAX('06_炼丹配方'!$W$6:$W$14)+MAX('07_炼器配方'!$T$6:$T$21))/2)))</x:f>
        <x:v>283.7237760000001</x:v>
      </x:c>
      <x:c r="X27" s="41" t="n">
        <x:f>IF(B27&lt;=1,'10_怪物秘境'!$T$6,IF(B27&lt;=7,'10_怪物秘境'!$T$8,IF(B27&lt;=30,'10_怪物秘境'!$T$10,'10_怪物秘境'!$T$11)))</x:f>
        <x:v>1468</x:v>
      </x:c>
      <x:c r="Y27" s="41" t="n">
        <x:f>F27*H8*'01_核心假设'!$B$6/'06_炼丹配方'!$N$7*IF("聚气丹"="",0,IFERROR(VLOOKUP("聚气丹",'14_市场基准价'!$A$6:$J$80,4,FALSE),0))+I27*'01_核心假设'!$B$39</x:f>
        <x:v>2338.56</x:v>
      </x:c>
      <x:c r="Z27" s="41" t="n">
        <x:f>MAX(0,(O27-Y27)*'01_核心假设'!$B$47)</x:f>
        <x:v>69748.61087181458</x:v>
      </x:c>
      <x:c r="AA27" s="41" t="n">
        <x:f>MAX(0,O27-Y27-Z27)</x:f>
        <x:v>129533.13447622709</x:v>
      </x:c>
    </x:row>
    <x:row r="28">
      <x:c r="A28" s="30" t="str">
        <x:v>秘境修士</x:v>
      </x:c>
      <x:c r="B28" s="30" t="n">
        <x:v>10</x:v>
      </x:c>
      <x:c r="C28" s="41" t="n">
        <x:f>B28*'01_核心假设'!$B$7*'01_核心假设'!$B$12</x:f>
        <x:v>192</x:v>
      </x:c>
      <x:c r="D28" s="41" t="n">
        <x:f>B28*'01_核心假设'!$B$10*F8/'01_核心假设'!$B$8</x:f>
        <x:v>11.666666666666666</x:v>
      </x:c>
      <x:c r="E28" s="68" t="n">
        <x:f>1+'01_核心假设'!$B$30*LN(1+B28)</x:f>
        <x:v>1.4316211491037067</x:v>
      </x:c>
      <x:c r="F28" s="41" t="n">
        <x:f>C28*B8</x:f>
        <x:v>57.599999999999994</x:v>
      </x:c>
      <x:c r="G28" s="41" t="n">
        <x:f>C28*C8</x:f>
        <x:v>28.799999999999997</x:v>
      </x:c>
      <x:c r="H28" s="41" t="n">
        <x:f>C28*D8</x:f>
        <x:v>28.799999999999997</x:v>
      </x:c>
      <x:c r="I28" s="41" t="n">
        <x:f>C28*E8</x:f>
        <x:v>76.80000000000001</x:v>
      </x:c>
      <x:c r="J28" s="41" t="n">
        <x:f>B28*'01_核心假设'!$B$7/'01_核心假设'!$B$24*G8</x:f>
        <x:v>20</x:v>
      </x:c>
      <x:c r="K28" s="41" t="n">
        <x:f>IFERROR(VLOOKUP(A28&amp;"|"&amp;B28,'18_战力秘境模拟'!$A$6:$R$26,15,FALSE),J28*0.5)</x:f>
        <x:v>16.397917819040323</x:v>
      </x:c>
      <x:c r="L28" s="41" t="n">
        <x:f>F28*'01_核心假设'!$B$13*E28*(1+H8*'01_核心假设'!$B$34)+K28*'01_核心假设'!$B$29</x:f>
        <x:v>31358.554727359347</x:v>
      </x:c>
      <x:c r="M28" s="41" t="str">
        <x:f>IFERROR(VLOOKUP(A28&amp;"|"&amp;B28,'17_资源突破模拟'!$A$6:$P$26,16,FALSE),VLOOKUP(L28,'02_境界时间轴'!$A$6:$C$17,2,TRUE))</x:f>
        <x:v>筑基初期</x:v>
      </x:c>
      <x:c r="N28" s="41" t="n">
        <x:f>(G28+H28)*120*E28</x:f>
        <x:v>9895.36538260482</x:v>
      </x:c>
      <x:c r="O28" s="41" t="n">
        <x:f>G28*V28*I8*E28+H28*W28*J8*E28+I28*X28*K8*E28+P28</x:f>
        <x:v>415488.07781372167</x:v>
      </x:c>
      <x:c r="P28" s="41" t="n">
        <x:f>IFERROR(VLOOKUP(A28&amp;"|"&amp;B28,'18_战力秘境模拟'!$A$6:$R$26,17,FALSE),J28*'01_核心假设'!$B$28)</x:f>
        <x:v>78174.77749378009</x:v>
      </x:c>
      <x:c r="Q28" s="62" t="n">
        <x:f>IF(O28=0,0,P28/O28)</x:f>
        <x:v>0.18815167430346502</x:v>
      </x:c>
      <x:c r="R28" s="62" t="n">
        <x:f>IFERROR(VLOOKUP(A28&amp;"|"&amp;B28,'17_资源突破模拟'!$A$6:$P$26,15,FALSE),0)</x:f>
        <x:v>1</x:v>
      </x:c>
      <x:c r="S28" s="36" t="str">
        <x:f>IF(N28&lt;5000,"Lv10",IF(N28&lt;30000,"Lv20",IF(N28&lt;100000,"Lv35","Lv50+")))</x:f>
        <x:v>Lv20</x:v>
      </x:c>
      <x:c r="T28" s="36" t="n">
        <x:f>IF(LEFT(M28,2)="凡人",1,IF(LEFT(M28,2)="炼气",2,3))</x:f>
        <x:v>3</x:v>
      </x:c>
      <x:c r="U28" s="36" t="str">
        <x:f>IF(B28&lt;=1,"理解采药→丹药→修炼",IF(B28&lt;=7,"炼气大圆满与筑基准备",IF(B28&lt;=30,"筑基Build与洞府",IF(B28&lt;=90,"金丹扩展锚点",IF(B28&lt;=180,"元婴自动化锚点","化神长期身份")))))</x:f>
        <x:v>筑基Build与洞府</x:v>
      </x:c>
      <x:c r="V28" s="41" t="n">
        <x:f>IF(B28&lt;=1,'05_采集行动'!$U$6,IF(B28&lt;=7,AVERAGE('05_采集行动'!$U$7,'05_采集行动'!$U$10),IF(B28&lt;=30,AVERAGE('05_采集行动'!$U$8,'05_采集行动'!$U$11),AVERAGE('05_采集行动'!$U$9,'05_采集行动'!$U$13))))</x:f>
        <x:v>369.4600889164087</x:v>
      </x:c>
      <x:c r="W28" s="41" t="n">
        <x:f>IF(B28&lt;=1,MAX(0,'06_炼丹配方'!$W$6),IF(B28&lt;=7,MAX(0,MAX('06_炼丹配方'!$W$6:$W$10)),MAX(0,(MAX('06_炼丹配方'!$W$6:$W$14)+MAX('07_炼器配方'!$T$6:$T$21))/2)))</x:f>
        <x:v>377.1858651428572</x:v>
      </x:c>
      <x:c r="X28" s="41" t="n">
        <x:f>IF(B28&lt;=1,'10_怪物秘境'!$T$6,IF(B28&lt;=7,'10_怪物秘境'!$T$8,IF(B28&lt;=30,'10_怪物秘境'!$T$10,'10_怪物秘境'!$T$11)))</x:f>
        <x:v>2258.4</x:v>
      </x:c>
      <x:c r="Y28" s="41" t="n">
        <x:f>F28*H8*'01_核心假设'!$B$6/'06_炼丹配方'!$N$7*IF("聚气丹"="",0,IFERROR(VLOOKUP("聚气丹",'14_市场基准价'!$A$6:$J$80,4,FALSE),0))+I28*'01_核心假设'!$B$39</x:f>
        <x:v>3340.7999999999993</x:v>
      </x:c>
      <x:c r="Z28" s="41" t="n">
        <x:f>MAX(0,(O28-Y28)*'01_核心假设'!$B$47)</x:f>
        <x:v>144251.54723480257</x:v>
      </x:c>
      <x:c r="AA28" s="41" t="n">
        <x:f>MAX(0,O28-Y28-Z28)</x:f>
        <x:v>267895.7305789191</x:v>
      </x:c>
    </x:row>
    <x:row r="29">
      <x:c r="A29" s="30" t="str">
        <x:v>秘境修士</x:v>
      </x:c>
      <x:c r="B29" s="30" t="n">
        <x:v>30</x:v>
      </x:c>
      <x:c r="C29" s="41" t="n">
        <x:f>B29*'01_核心假设'!$B$7*'01_核心假设'!$B$12</x:f>
        <x:v>576</x:v>
      </x:c>
      <x:c r="D29" s="41" t="n">
        <x:f>B29*'01_核心假设'!$B$10*F8/'01_核心假设'!$B$8</x:f>
        <x:v>35</x:v>
      </x:c>
      <x:c r="E29" s="68" t="n">
        <x:f>1+'01_核心假设'!$B$30*LN(1+B29)</x:f>
        <x:v>1.6181176968073263</x:v>
      </x:c>
      <x:c r="F29" s="41" t="n">
        <x:f>C29*B8</x:f>
        <x:v>172.79999999999998</x:v>
      </x:c>
      <x:c r="G29" s="41" t="n">
        <x:f>C29*C8</x:f>
        <x:v>86.39999999999999</x:v>
      </x:c>
      <x:c r="H29" s="41" t="n">
        <x:f>C29*D8</x:f>
        <x:v>86.39999999999999</x:v>
      </x:c>
      <x:c r="I29" s="41" t="n">
        <x:f>C29*E8</x:f>
        <x:v>230.4</x:v>
      </x:c>
      <x:c r="J29" s="41" t="n">
        <x:f>B29*'01_核心假设'!$B$7/'01_核心假设'!$B$24*G8</x:f>
        <x:v>60</x:v>
      </x:c>
      <x:c r="K29" s="41" t="n">
        <x:f>IFERROR(VLOOKUP(A29&amp;"|"&amp;B29,'18_战力秘境模拟'!$A$6:$R$26,15,FALSE),J29*0.5)</x:f>
        <x:v>44.88039223725658</x:v>
      </x:c>
      <x:c r="L29" s="41" t="n">
        <x:f>F29*'01_核心假设'!$B$13*E29*(1+H8*'01_核心假设'!$B$34)+K29*'01_核心假设'!$B$29</x:f>
        <x:v>103114.31054509006</x:v>
      </x:c>
      <x:c r="M29" s="41" t="str">
        <x:f>IFERROR(VLOOKUP(A29&amp;"|"&amp;B29,'17_资源突破模拟'!$A$6:$P$26,16,FALSE),VLOOKUP(L29,'02_境界时间轴'!$A$6:$C$17,2,TRUE))</x:f>
        <x:v>筑基中期</x:v>
      </x:c>
      <x:c r="N29" s="41" t="n">
        <x:f>(G29+H29)*120*E29</x:f>
        <x:v>33553.28856099671</x:v>
      </x:c>
      <x:c r="O29" s="41" t="n">
        <x:f>G29*V29*I8*E29+H29*W29*J8*E29+I29*X29*K8*E29+P29</x:f>
        <x:v>1495582.1839685878</x:v>
      </x:c>
      <x:c r="P29" s="41" t="n">
        <x:f>IFERROR(VLOOKUP(A29&amp;"|"&amp;B29,'18_战力秘境模拟'!$A$6:$R$26,17,FALSE),J29*'01_核心假设'!$B$28)</x:f>
        <x:v>351817.3947478543</x:v>
      </x:c>
      <x:c r="Q29" s="62" t="n">
        <x:f>IF(O29=0,0,P29/O29)</x:f>
        <x:v>0.23523775458082327</x:v>
      </x:c>
      <x:c r="R29" s="62" t="n">
        <x:f>IFERROR(VLOOKUP(A29&amp;"|"&amp;B29,'17_资源突破模拟'!$A$6:$P$26,15,FALSE),0)</x:f>
        <x:v>1</x:v>
      </x:c>
      <x:c r="S29" s="36" t="str">
        <x:f>IF(N29&lt;5000,"Lv10",IF(N29&lt;30000,"Lv20",IF(N29&lt;100000,"Lv35","Lv50+")))</x:f>
        <x:v>Lv35</x:v>
      </x:c>
      <x:c r="T29" s="36" t="n">
        <x:f>IF(LEFT(M29,2)="凡人",1,IF(LEFT(M29,2)="炼气",2,3))</x:f>
        <x:v>3</x:v>
      </x:c>
      <x:c r="U29" s="36" t="str">
        <x:f>IF(B29&lt;=1,"理解采药→丹药→修炼",IF(B29&lt;=7,"炼气大圆满与筑基准备",IF(B29&lt;=30,"筑基Build与洞府",IF(B29&lt;=90,"金丹扩展锚点",IF(B29&lt;=180,"元婴自动化锚点","化神长期身份")))))</x:f>
        <x:v>筑基Build与洞府</x:v>
      </x:c>
      <x:c r="V29" s="41" t="n">
        <x:f>IF(B29&lt;=1,'05_采集行动'!$U$6,IF(B29&lt;=7,AVERAGE('05_采集行动'!$U$7,'05_采集行动'!$U$10),IF(B29&lt;=30,AVERAGE('05_采集行动'!$U$8,'05_采集行动'!$U$11),AVERAGE('05_采集行动'!$U$9,'05_采集行动'!$U$13))))</x:f>
        <x:v>369.4600889164087</x:v>
      </x:c>
      <x:c r="W29" s="41" t="n">
        <x:f>IF(B29&lt;=1,MAX(0,'06_炼丹配方'!$W$6),IF(B29&lt;=7,MAX(0,MAX('06_炼丹配方'!$W$6:$W$10)),MAX(0,(MAX('06_炼丹配方'!$W$6:$W$14)+MAX('07_炼器配方'!$T$6:$T$21))/2)))</x:f>
        <x:v>377.1858651428572</x:v>
      </x:c>
      <x:c r="X29" s="41" t="n">
        <x:f>IF(B29&lt;=1,'10_怪物秘境'!$T$6,IF(B29&lt;=7,'10_怪物秘境'!$T$8,IF(B29&lt;=30,'10_怪物秘境'!$T$10,'10_怪物秘境'!$T$11)))</x:f>
        <x:v>2258.4</x:v>
      </x:c>
      <x:c r="Y29" s="41" t="n">
        <x:f>F29*H8*'01_核心假设'!$B$6/'06_炼丹配方'!$N$7*IF("聚气丹"="",0,IFERROR(VLOOKUP("聚气丹",'14_市场基准价'!$A$6:$J$80,4,FALSE),0))+I29*'01_核心假设'!$B$39</x:f>
        <x:v>10022.4</x:v>
      </x:c>
      <x:c r="Z29" s="41" t="n">
        <x:f>MAX(0,(O29-Y29)*'01_核心假设'!$B$47)</x:f>
        <x:v>519945.9243890057</x:v>
      </x:c>
      <x:c r="AA29" s="41" t="n">
        <x:f>MAX(0,O29-Y29-Z29)</x:f>
        <x:v>965613.8595795822</x:v>
      </x:c>
    </x:row>
    <x:row r="30">
      <x:c r="A30" s="30" t="str">
        <x:v>秘境修士</x:v>
      </x:c>
      <x:c r="B30" s="30" t="n">
        <x:v>90</x:v>
      </x:c>
      <x:c r="C30" s="41" t="n">
        <x:f>B30*'01_核心假设'!$B$7*'01_核心假设'!$B$12</x:f>
        <x:v>1728</x:v>
      </x:c>
      <x:c r="D30" s="41" t="n">
        <x:f>B30*'01_核心假设'!$B$10*F8/'01_核心假设'!$B$8</x:f>
        <x:v>105</x:v>
      </x:c>
      <x:c r="E30" s="68" t="n">
        <x:f>1+'01_核心假设'!$B$30*LN(1+B30)</x:f>
        <x:v>1.811954711173033</x:v>
      </x:c>
      <x:c r="F30" s="41" t="n">
        <x:f>C30*B8</x:f>
        <x:v>518.4</x:v>
      </x:c>
      <x:c r="G30" s="41" t="n">
        <x:f>C30*C8</x:f>
        <x:v>259.2</x:v>
      </x:c>
      <x:c r="H30" s="41" t="n">
        <x:f>C30*D8</x:f>
        <x:v>259.2</x:v>
      </x:c>
      <x:c r="I30" s="41" t="n">
        <x:f>C30*E8</x:f>
        <x:v>691.2</x:v>
      </x:c>
      <x:c r="J30" s="41" t="n">
        <x:f>B30*'01_核心假设'!$B$7/'01_核心假设'!$B$24*G8</x:f>
        <x:v>180</x:v>
      </x:c>
      <x:c r="K30" s="41" t="n">
        <x:f>IFERROR(VLOOKUP(A30&amp;"|"&amp;B30,'18_战力秘境模拟'!$A$6:$R$26,15,FALSE),J30*0.5)</x:f>
        <x:v>102.54477446727056</x:v>
      </x:c>
      <x:c r="L30" s="41" t="n">
        <x:f>F30*'01_核心假设'!$B$13*E30*(1+H8*'01_核心假设'!$B$34)+K30*'01_核心假设'!$B$29</x:f>
        <x:v>331932.0487936733</x:v>
      </x:c>
      <x:c r="M30" s="41" t="str">
        <x:f>IFERROR(VLOOKUP(A30&amp;"|"&amp;B30,'17_资源突破模拟'!$A$6:$P$26,16,FALSE),VLOOKUP(L30,'02_境界时间轴'!$A$6:$C$17,2,TRUE))</x:f>
        <x:v>金丹</x:v>
      </x:c>
      <x:c r="N30" s="41" t="n">
        <x:f>(G30+H30)*120*E30</x:f>
        <x:v>112718.07867265203</x:v>
      </x:c>
      <x:c r="O30" s="41" t="n">
        <x:f>G30*V30*I8*E30+H30*W30*J8*E30+I30*X30*K8*E30+P30</x:f>
        <x:v>4197538.720993878</x:v>
      </x:c>
      <x:c r="P30" s="41" t="n">
        <x:f>IFERROR(VLOOKUP(A30&amp;"|"&amp;B30,'18_战力秘境模拟'!$A$6:$R$26,17,FALSE),J30*'01_核心假设'!$B$28)</x:f>
        <x:v>664387.593773446</x:v>
      </x:c>
      <x:c r="Q30" s="62" t="n">
        <x:f>IF(O30=0,0,P30/O30)</x:f>
        <x:v>0.1582802775470609</x:v>
      </x:c>
      <x:c r="R30" s="62" t="n">
        <x:f>IFERROR(VLOOKUP(A30&amp;"|"&amp;B30,'17_资源突破模拟'!$A$6:$P$26,15,FALSE),0)</x:f>
        <x:v>1</x:v>
      </x:c>
      <x:c r="S30" s="36" t="str">
        <x:f>IF(N30&lt;5000,"Lv10",IF(N30&lt;30000,"Lv20",IF(N30&lt;100000,"Lv35","Lv50+")))</x:f>
        <x:v>Lv50+</x:v>
      </x:c>
      <x:c r="T30" s="36" t="n">
        <x:f>IF(LEFT(M30,2)="凡人",1,IF(LEFT(M30,2)="炼气",2,3))</x:f>
        <x:v>3</x:v>
      </x:c>
      <x:c r="U30" s="36" t="str">
        <x:f>IF(B30&lt;=1,"理解采药→丹药→修炼",IF(B30&lt;=7,"炼气大圆满与筑基准备",IF(B30&lt;=30,"筑基Build与洞府",IF(B30&lt;=90,"金丹扩展锚点",IF(B30&lt;=180,"元婴自动化锚点","化神长期身份")))))</x:f>
        <x:v>金丹扩展锚点</x:v>
      </x:c>
      <x:c r="V30" s="41" t="n">
        <x:f>IF(B30&lt;=1,'05_采集行动'!$U$6,IF(B30&lt;=7,AVERAGE('05_采集行动'!$U$7,'05_采集行动'!$U$10),IF(B30&lt;=30,AVERAGE('05_采集行动'!$U$8,'05_采集行动'!$U$11),AVERAGE('05_采集行动'!$U$9,'05_采集行动'!$U$13))))</x:f>
        <x:v>973.2027876923078</x:v>
      </x:c>
      <x:c r="W30" s="41" t="n">
        <x:f>IF(B30&lt;=1,MAX(0,'06_炼丹配方'!$W$6),IF(B30&lt;=7,MAX(0,MAX('06_炼丹配方'!$W$6:$W$10)),MAX(0,(MAX('06_炼丹配方'!$W$6:$W$14)+MAX('07_炼器配方'!$T$6:$T$21))/2)))</x:f>
        <x:v>377.1858651428572</x:v>
      </x:c>
      <x:c r="X30" s="41" t="n">
        <x:f>IF(B30&lt;=1,'10_怪物秘境'!$T$6,IF(B30&lt;=7,'10_怪物秘境'!$T$8,IF(B30&lt;=30,'10_怪物秘境'!$T$10,'10_怪物秘境'!$T$11)))</x:f>
        <x:v>1897.894736842105</x:v>
      </x:c>
      <x:c r="Y30" s="41" t="n">
        <x:f>F30*H8*'01_核心假设'!$B$6/'06_炼丹配方'!$N$7*IF("聚气丹"="",0,IFERROR(VLOOKUP("聚气丹",'14_市场基准价'!$A$6:$J$80,4,FALSE),0))+I30*'01_核心假设'!$B$39</x:f>
        <x:v>30067.199999999997</x:v>
      </x:c>
      <x:c r="Z30" s="41" t="n">
        <x:f>MAX(0,(O30-Y30)*'01_核心假设'!$B$47)</x:f>
        <x:v>1458615.0323478573</x:v>
      </x:c>
      <x:c r="AA30" s="41" t="n">
        <x:f>MAX(0,O30-Y30-Z30)</x:f>
        <x:v>2708856.488646021</x:v>
      </x:c>
    </x:row>
    <x:row r="31">
      <x:c r="A31" s="30" t="str">
        <x:v>秘境修士</x:v>
      </x:c>
      <x:c r="B31" s="30" t="n">
        <x:v>180</x:v>
      </x:c>
      <x:c r="C31" s="41" t="n">
        <x:f>B31*'01_核心假设'!$B$7*'01_核心假设'!$B$12</x:f>
        <x:v>3456</x:v>
      </x:c>
      <x:c r="D31" s="41" t="n">
        <x:f>B31*'01_核心假设'!$B$10*F8/'01_核心假设'!$B$8</x:f>
        <x:v>210</x:v>
      </x:c>
      <x:c r="E31" s="68" t="n">
        <x:f>1+'01_核心假设'!$B$30*LN(1+B31)</x:f>
        <x:v>1.9357294656278485</x:v>
      </x:c>
      <x:c r="F31" s="41" t="n">
        <x:f>C31*B8</x:f>
        <x:v>1036.8</x:v>
      </x:c>
      <x:c r="G31" s="41" t="n">
        <x:f>C31*C8</x:f>
        <x:v>518.4</x:v>
      </x:c>
      <x:c r="H31" s="41" t="n">
        <x:f>C31*D8</x:f>
        <x:v>518.4</x:v>
      </x:c>
      <x:c r="I31" s="41" t="n">
        <x:f>C31*E8</x:f>
        <x:v>1382.4</x:v>
      </x:c>
      <x:c r="J31" s="41" t="n">
        <x:f>B31*'01_核心假设'!$B$7/'01_核心假设'!$B$24*G8</x:f>
        <x:v>360</x:v>
      </x:c>
      <x:c r="K31" s="41" t="n">
        <x:f>IFERROR(VLOOKUP(A31&amp;"|"&amp;B31,'18_战力秘境模拟'!$A$6:$R$26,15,FALSE),J31*0.5)</x:f>
        <x:v>233.47422297090841</x:v>
      </x:c>
      <x:c r="L31" s="41" t="n">
        <x:f>F31*'01_核心假设'!$B$13*E31*(1+H8*'01_核心假设'!$B$34)+K31*'01_核心假设'!$B$29</x:f>
        <x:v>713525.1987731444</x:v>
      </x:c>
      <x:c r="M31" s="41" t="str">
        <x:f>IFERROR(VLOOKUP(A31&amp;"|"&amp;B31,'17_资源突破模拟'!$A$6:$P$26,16,FALSE),VLOOKUP(L31,'02_境界时间轴'!$A$6:$C$17,2,TRUE))</x:f>
        <x:v>元婴</x:v>
      </x:c>
      <x:c r="N31" s="41" t="n">
        <x:f>(G31+H31)*120*E31</x:f>
        <x:v>240835.7171955544</x:v>
      </x:c>
      <x:c r="O31" s="41" t="n">
        <x:f>G31*V31*I8*E31+H31*W31*J8*E31+I31*X31*K8*E31+P31</x:f>
        <x:v>9061681.351772413</x:v>
      </x:c>
      <x:c r="P31" s="41" t="n">
        <x:f>IFERROR(VLOOKUP(A31&amp;"|"&amp;B31,'18_战力秘境模拟'!$A$6:$R$26,17,FALSE),J31*'01_核心假设'!$B$28)</x:f>
        <x:v>1512679.4906285158</x:v>
      </x:c>
      <x:c r="Q31" s="62" t="n">
        <x:f>IF(O31=0,0,P31/O31)</x:f>
        <x:v>0.16693143710384878</x:v>
      </x:c>
      <x:c r="R31" s="62" t="n">
        <x:f>IFERROR(VLOOKUP(A31&amp;"|"&amp;B31,'17_资源突破模拟'!$A$6:$P$26,15,FALSE),0)</x:f>
        <x:v>1</x:v>
      </x:c>
      <x:c r="S31" s="36" t="str">
        <x:f>IF(N31&lt;5000,"Lv10",IF(N31&lt;30000,"Lv20",IF(N31&lt;100000,"Lv35","Lv50+")))</x:f>
        <x:v>Lv50+</x:v>
      </x:c>
      <x:c r="T31" s="36" t="n">
        <x:f>IF(LEFT(M31,2)="凡人",1,IF(LEFT(M31,2)="炼气",2,3))</x:f>
        <x:v>3</x:v>
      </x:c>
      <x:c r="U31" s="36" t="str">
        <x:f>IF(B31&lt;=1,"理解采药→丹药→修炼",IF(B31&lt;=7,"炼气大圆满与筑基准备",IF(B31&lt;=30,"筑基Build与洞府",IF(B31&lt;=90,"金丹扩展锚点",IF(B31&lt;=180,"元婴自动化锚点","化神长期身份")))))</x:f>
        <x:v>元婴自动化锚点</x:v>
      </x:c>
      <x:c r="V31" s="41" t="n">
        <x:f>IF(B31&lt;=1,'05_采集行动'!$U$6,IF(B31&lt;=7,AVERAGE('05_采集行动'!$U$7,'05_采集行动'!$U$10),IF(B31&lt;=30,AVERAGE('05_采集行动'!$U$8,'05_采集行动'!$U$11),AVERAGE('05_采集行动'!$U$9,'05_采集行动'!$U$13))))</x:f>
        <x:v>973.2027876923078</x:v>
      </x:c>
      <x:c r="W31" s="41" t="n">
        <x:f>IF(B31&lt;=1,MAX(0,'06_炼丹配方'!$W$6),IF(B31&lt;=7,MAX(0,MAX('06_炼丹配方'!$W$6:$W$10)),MAX(0,(MAX('06_炼丹配方'!$W$6:$W$14)+MAX('07_炼器配方'!$T$6:$T$21))/2)))</x:f>
        <x:v>377.1858651428572</x:v>
      </x:c>
      <x:c r="X31" s="41" t="n">
        <x:f>IF(B31&lt;=1,'10_怪物秘境'!$T$6,IF(B31&lt;=7,'10_怪物秘境'!$T$8,IF(B31&lt;=30,'10_怪物秘境'!$T$10,'10_怪物秘境'!$T$11)))</x:f>
        <x:v>1897.894736842105</x:v>
      </x:c>
      <x:c r="Y31" s="41" t="n">
        <x:f>F31*H8*'01_核心假设'!$B$6/'06_炼丹配方'!$N$7*IF("聚气丹"="",0,IFERROR(VLOOKUP("聚气丹",'14_市场基准价'!$A$6:$J$80,4,FALSE),0))+I31*'01_核心假设'!$B$39</x:f>
        <x:v>60134.399999999994</x:v>
      </x:c>
      <x:c r="Z31" s="41" t="n">
        <x:f>MAX(0,(O31-Y31)*'01_核心假设'!$B$47)</x:f>
        <x:v>3150541.4331203443</x:v>
      </x:c>
      <x:c r="AA31" s="41" t="n">
        <x:f>MAX(0,O31-Y31-Z31)</x:f>
        <x:v>5851005.518652068</x:v>
      </x:c>
    </x:row>
    <x:row r="32">
      <x:c r="A32" s="31" t="str">
        <x:v>秘境修士</x:v>
      </x:c>
      <x:c r="B32" s="31" t="n">
        <x:v>365</x:v>
      </x:c>
      <x:c r="C32" s="43" t="n">
        <x:f>B32*'01_核心假设'!$B$7*'01_核心假设'!$B$12</x:f>
        <x:v>7008</x:v>
      </x:c>
      <x:c r="D32" s="43" t="n">
        <x:f>B32*'01_核心假设'!$B$10*F8/'01_核心假设'!$B$8</x:f>
        <x:v>425.8333333333333</x:v>
      </x:c>
      <x:c r="E32" s="69" t="n">
        <x:f>1+'01_核心假设'!$B$30*LN(1+B32)</x:f>
        <x:v>2.062474000012246</x:v>
      </x:c>
      <x:c r="F32" s="43" t="n">
        <x:f>C32*B8</x:f>
        <x:v>2102.4</x:v>
      </x:c>
      <x:c r="G32" s="43" t="n">
        <x:f>C32*C8</x:f>
        <x:v>1051.2</x:v>
      </x:c>
      <x:c r="H32" s="43" t="n">
        <x:f>C32*D8</x:f>
        <x:v>1051.2</x:v>
      </x:c>
      <x:c r="I32" s="43" t="n">
        <x:f>C32*E8</x:f>
        <x:v>2803.2000000000003</x:v>
      </x:c>
      <x:c r="J32" s="43" t="n">
        <x:f>B32*'01_核心假设'!$B$7/'01_核心假设'!$B$24*G8</x:f>
        <x:v>730</x:v>
      </x:c>
      <x:c r="K32" s="43" t="n">
        <x:f>IFERROR(VLOOKUP(A32&amp;"|"&amp;B32,'18_战力秘境模拟'!$A$6:$R$26,15,FALSE),J32*0.5)</x:f>
        <x:v>512.490766181159</x:v>
      </x:c>
      <x:c r="L32" s="43" t="n">
        <x:f>F32*'01_核心假设'!$B$13*E32*(1+H8*'01_核心假设'!$B$34)+K32*'01_核心假设'!$B$29</x:f>
        <x:v>1544023.8287306025</x:v>
      </x:c>
      <x:c r="M32" s="43" t="str">
        <x:f>IFERROR(VLOOKUP(A32&amp;"|"&amp;B32,'17_资源突破模拟'!$A$6:$P$26,16,FALSE),VLOOKUP(L32,'02_境界时间轴'!$A$6:$C$17,2,TRUE))</x:f>
        <x:v>化神</x:v>
      </x:c>
      <x:c r="N32" s="43" t="n">
        <x:f>(G32+H32)*120*E32</x:f>
        <x:v>520337.44051508955</x:v>
      </x:c>
      <x:c r="O32" s="43" t="n">
        <x:f>G32*V32*I8*E32+H32*W32*J8*E32+I32*X32*K8*E32+P32</x:f>
        <x:v>19630418.37069928</x:v>
      </x:c>
      <x:c r="P32" s="43" t="n">
        <x:f>IFERROR(VLOOKUP(A32&amp;"|"&amp;B32,'18_战力秘境模拟'!$A$6:$R$26,17,FALSE),J32*'01_核心假设'!$B$28)</x:f>
        <x:v>3320427.6740877293</x:v>
      </x:c>
      <x:c r="Q32" s="63" t="n">
        <x:f>IF(O32=0,0,P32/O32)</x:f>
        <x:v>0.169147066118767</x:v>
      </x:c>
      <x:c r="R32" s="63" t="n">
        <x:f>IFERROR(VLOOKUP(A32&amp;"|"&amp;B32,'17_资源突破模拟'!$A$6:$P$26,15,FALSE),0)</x:f>
        <x:v>1</x:v>
      </x:c>
      <x:c r="S32" s="37" t="str">
        <x:f>IF(N32&lt;5000,"Lv10",IF(N32&lt;30000,"Lv20",IF(N32&lt;100000,"Lv35","Lv50+")))</x:f>
        <x:v>Lv50+</x:v>
      </x:c>
      <x:c r="T32" s="37" t="n">
        <x:f>IF(LEFT(M32,2)="凡人",1,IF(LEFT(M32,2)="炼气",2,3))</x:f>
        <x:v>3</x:v>
      </x:c>
      <x:c r="U32" s="37" t="str">
        <x:f>IF(B32&lt;=1,"理解采药→丹药→修炼",IF(B32&lt;=7,"炼气大圆满与筑基准备",IF(B32&lt;=30,"筑基Build与洞府",IF(B32&lt;=90,"金丹扩展锚点",IF(B32&lt;=180,"元婴自动化锚点","化神长期身份")))))</x:f>
        <x:v>化神长期身份</x:v>
      </x:c>
      <x:c r="V32" s="43" t="n">
        <x:f>IF(B32&lt;=1,'05_采集行动'!$U$6,IF(B32&lt;=7,AVERAGE('05_采集行动'!$U$7,'05_采集行动'!$U$10),IF(B32&lt;=30,AVERAGE('05_采集行动'!$U$8,'05_采集行动'!$U$11),AVERAGE('05_采集行动'!$U$9,'05_采集行动'!$U$13))))</x:f>
        <x:v>973.2027876923078</x:v>
      </x:c>
      <x:c r="W32" s="43" t="n">
        <x:f>IF(B32&lt;=1,MAX(0,'06_炼丹配方'!$W$6),IF(B32&lt;=7,MAX(0,MAX('06_炼丹配方'!$W$6:$W$10)),MAX(0,(MAX('06_炼丹配方'!$W$6:$W$14)+MAX('07_炼器配方'!$T$6:$T$21))/2)))</x:f>
        <x:v>377.1858651428572</x:v>
      </x:c>
      <x:c r="X32" s="43" t="n">
        <x:f>IF(B32&lt;=1,'10_怪物秘境'!$T$6,IF(B32&lt;=7,'10_怪物秘境'!$T$8,IF(B32&lt;=30,'10_怪物秘境'!$T$10,'10_怪物秘境'!$T$11)))</x:f>
        <x:v>1897.894736842105</x:v>
      </x:c>
      <x:c r="Y32" s="43" t="n">
        <x:f>F32*H8*'01_核心假设'!$B$6/'06_炼丹配方'!$N$7*IF("聚气丹"="",0,IFERROR(VLOOKUP("聚气丹",'14_市场基准价'!$A$6:$J$80,4,FALSE),0))+I32*'01_核心假设'!$B$39</x:f>
        <x:v>121939.20000000001</x:v>
      </x:c>
      <x:c r="Z32" s="43" t="n">
        <x:f>MAX(0,(O32-Y32)*'01_核心假设'!$B$47)</x:f>
        <x:v>6827967.709744748</x:v>
      </x:c>
      <x:c r="AA32" s="43" t="n">
        <x:f>MAX(0,O32-Y32-Z32)</x:f>
        <x:v>12680511.460954532</x:v>
      </x:c>
    </x:row>
  </x:sheetData>
  <x:mergeCells>
    <x:mergeCell ref="A1:AA1"/>
    <x:mergeCell ref="A2:AA3"/>
  </x:mergeCells>
  <x:conditionalFormatting sqref="Q12:Q32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9" hidden="0" customWidth="1"/>
    <x:col min="4" max="4" width="14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12" hidden="0" customWidth="1"/>
    <x:col min="10" max="10" width="13" hidden="0" customWidth="1"/>
    <x:col min="11" max="11" width="14" hidden="0" customWidth="1"/>
    <x:col min="12" max="12" width="11" hidden="0" customWidth="1"/>
    <x:col min="13" max="13" width="11" hidden="0" customWidth="1"/>
    <x:col min="14" max="14" width="11" hidden="0" customWidth="1"/>
    <x:col min="15" max="15" width="16" hidden="0" customWidth="1"/>
    <x:col min="16" max="16" width="18" hidden="0" customWidth="1"/>
  </x:cols>
  <x:sheetData>
    <x:row r="1" ht="30" customHeight="1">
      <x:c r="A1" s="3" t="str">
        <x:v>资源库存、经济门槛与实际境界</x:v>
      </x:c>
      <x:c r="B1" s="3" t="str">
        <x:v>资源库存、经济门槛与实际境界</x:v>
      </x:c>
      <x:c r="C1" s="3" t="str">
        <x:v>资源库存、经济门槛与实际境界</x:v>
      </x:c>
      <x:c r="D1" s="3" t="str">
        <x:v>资源库存、经济门槛与实际境界</x:v>
      </x:c>
      <x:c r="E1" s="3" t="str">
        <x:v>资源库存、经济门槛与实际境界</x:v>
      </x:c>
      <x:c r="F1" s="3" t="str">
        <x:v>资源库存、经济门槛与实际境界</x:v>
      </x:c>
      <x:c r="G1" s="3" t="str">
        <x:v>资源库存、经济门槛与实际境界</x:v>
      </x:c>
      <x:c r="H1" s="3" t="str">
        <x:v>资源库存、经济门槛与实际境界</x:v>
      </x:c>
      <x:c r="I1" s="3" t="str">
        <x:v>资源库存、经济门槛与实际境界</x:v>
      </x:c>
      <x:c r="J1" s="3" t="str">
        <x:v>资源库存、经济门槛与实际境界</x:v>
      </x:c>
      <x:c r="K1" s="3" t="str">
        <x:v>资源库存、经济门槛与实际境界</x:v>
      </x:c>
      <x:c r="L1" s="3" t="str">
        <x:v>资源库存、经济门槛与实际境界</x:v>
      </x:c>
      <x:c r="M1" s="3" t="str">
        <x:v>资源库存、经济门槛与实际境界</x:v>
      </x:c>
      <x:c r="N1" s="3" t="str">
        <x:v>资源库存、经济门槛与实际境界</x:v>
      </x:c>
      <x:c r="O1" s="3" t="str">
        <x:v>资源库存、经济门槛与实际境界</x:v>
      </x:c>
      <x:c r="P1" s="3" t="str">
        <x:v>资源库存、经济门槛与实际境界</x:v>
      </x:c>
    </x:row>
    <x:row r="2">
      <x:c r="A2" s="7" t="str">
        <x:v>修为满并不等于自动突破。筑基同时检查灵髓等价、筑基丹产能与可投资净资产；准备不足时停留在炼气大圆满。</x:v>
      </x:c>
      <x:c r="B2" s="7" t="str">
        <x:v>修为满并不等于自动突破。筑基同时检查灵髓等价、筑基丹产能与可投资净资产；准备不足时停留在炼气大圆满。</x:v>
      </x:c>
      <x:c r="C2" s="7" t="str">
        <x:v>修为满并不等于自动突破。筑基同时检查灵髓等价、筑基丹产能与可投资净资产；准备不足时停留在炼气大圆满。</x:v>
      </x:c>
      <x:c r="D2" s="7" t="str">
        <x:v>修为满并不等于自动突破。筑基同时检查灵髓等价、筑基丹产能与可投资净资产；准备不足时停留在炼气大圆满。</x:v>
      </x:c>
      <x:c r="E2" s="7" t="str">
        <x:v>修为满并不等于自动突破。筑基同时检查灵髓等价、筑基丹产能与可投资净资产；准备不足时停留在炼气大圆满。</x:v>
      </x:c>
      <x:c r="F2" s="7" t="str">
        <x:v>修为满并不等于自动突破。筑基同时检查灵髓等价、筑基丹产能与可投资净资产；准备不足时停留在炼气大圆满。</x:v>
      </x:c>
      <x:c r="G2" s="7" t="str">
        <x:v>修为满并不等于自动突破。筑基同时检查灵髓等价、筑基丹产能与可投资净资产；准备不足时停留在炼气大圆满。</x:v>
      </x:c>
      <x:c r="H2" s="7" t="str">
        <x:v>修为满并不等于自动突破。筑基同时检查灵髓等价、筑基丹产能与可投资净资产；准备不足时停留在炼气大圆满。</x:v>
      </x:c>
      <x:c r="I2" s="7" t="str">
        <x:v>修为满并不等于自动突破。筑基同时检查灵髓等价、筑基丹产能与可投资净资产；准备不足时停留在炼气大圆满。</x:v>
      </x:c>
      <x:c r="J2" s="7" t="str">
        <x:v>修为满并不等于自动突破。筑基同时检查灵髓等价、筑基丹产能与可投资净资产；准备不足时停留在炼气大圆满。</x:v>
      </x:c>
      <x:c r="K2" s="7" t="str">
        <x:v>修为满并不等于自动突破。筑基同时检查灵髓等价、筑基丹产能与可投资净资产；准备不足时停留在炼气大圆满。</x:v>
      </x:c>
      <x:c r="L2" s="7" t="str">
        <x:v>修为满并不等于自动突破。筑基同时检查灵髓等价、筑基丹产能与可投资净资产；准备不足时停留在炼气大圆满。</x:v>
      </x:c>
      <x:c r="M2" s="7" t="str">
        <x:v>修为满并不等于自动突破。筑基同时检查灵髓等价、筑基丹产能与可投资净资产；准备不足时停留在炼气大圆满。</x:v>
      </x:c>
      <x:c r="N2" s="7" t="str">
        <x:v>修为满并不等于自动突破。筑基同时检查灵髓等价、筑基丹产能与可投资净资产；准备不足时停留在炼气大圆满。</x:v>
      </x:c>
      <x:c r="O2" s="7" t="str">
        <x:v>修为满并不等于自动突破。筑基同时检查灵髓等价、筑基丹产能与可投资净资产；准备不足时停留在炼气大圆满。</x:v>
      </x:c>
      <x:c r="P2" s="7" t="str">
        <x:v>修为满并不等于自动突破。筑基同时检查灵髓等价、筑基丹产能与可投资净资产；准备不足时停留在炼气大圆满。</x:v>
      </x:c>
    </x:row>
    <x:row r="3">
      <x:c r="A3" s="7" t="str">
        <x:v>修为满并不等于自动突破。筑基同时检查灵髓等价、筑基丹产能与可投资净资产；准备不足时停留在炼气大圆满。</x:v>
      </x:c>
      <x:c r="B3" s="7" t="str">
        <x:v>修为满并不等于自动突破。筑基同时检查灵髓等价、筑基丹产能与可投资净资产；准备不足时停留在炼气大圆满。</x:v>
      </x:c>
      <x:c r="C3" s="7" t="str">
        <x:v>修为满并不等于自动突破。筑基同时检查灵髓等价、筑基丹产能与可投资净资产；准备不足时停留在炼气大圆满。</x:v>
      </x:c>
      <x:c r="D3" s="7" t="str">
        <x:v>修为满并不等于自动突破。筑基同时检查灵髓等价、筑基丹产能与可投资净资产；准备不足时停留在炼气大圆满。</x:v>
      </x:c>
      <x:c r="E3" s="7" t="str">
        <x:v>修为满并不等于自动突破。筑基同时检查灵髓等价、筑基丹产能与可投资净资产；准备不足时停留在炼气大圆满。</x:v>
      </x:c>
      <x:c r="F3" s="7" t="str">
        <x:v>修为满并不等于自动突破。筑基同时检查灵髓等价、筑基丹产能与可投资净资产；准备不足时停留在炼气大圆满。</x:v>
      </x:c>
      <x:c r="G3" s="7" t="str">
        <x:v>修为满并不等于自动突破。筑基同时检查灵髓等价、筑基丹产能与可投资净资产；准备不足时停留在炼气大圆满。</x:v>
      </x:c>
      <x:c r="H3" s="7" t="str">
        <x:v>修为满并不等于自动突破。筑基同时检查灵髓等价、筑基丹产能与可投资净资产；准备不足时停留在炼气大圆满。</x:v>
      </x:c>
      <x:c r="I3" s="7" t="str">
        <x:v>修为满并不等于自动突破。筑基同时检查灵髓等价、筑基丹产能与可投资净资产；准备不足时停留在炼气大圆满。</x:v>
      </x:c>
      <x:c r="J3" s="7" t="str">
        <x:v>修为满并不等于自动突破。筑基同时检查灵髓等价、筑基丹产能与可投资净资产；准备不足时停留在炼气大圆满。</x:v>
      </x:c>
      <x:c r="K3" s="7" t="str">
        <x:v>修为满并不等于自动突破。筑基同时检查灵髓等价、筑基丹产能与可投资净资产；准备不足时停留在炼气大圆满。</x:v>
      </x:c>
      <x:c r="L3" s="7" t="str">
        <x:v>修为满并不等于自动突破。筑基同时检查灵髓等价、筑基丹产能与可投资净资产；准备不足时停留在炼气大圆满。</x:v>
      </x:c>
      <x:c r="M3" s="7" t="str">
        <x:v>修为满并不等于自动突破。筑基同时检查灵髓等价、筑基丹产能与可投资净资产；准备不足时停留在炼气大圆满。</x:v>
      </x:c>
      <x:c r="N3" s="7" t="str">
        <x:v>修为满并不等于自动突破。筑基同时检查灵髓等价、筑基丹产能与可投资净资产；准备不足时停留在炼气大圆满。</x:v>
      </x:c>
      <x:c r="O3" s="7" t="str">
        <x:v>修为满并不等于自动突破。筑基同时检查灵髓等价、筑基丹产能与可投资净资产；准备不足时停留在炼气大圆满。</x:v>
      </x:c>
      <x:c r="P3" s="7" t="str">
        <x:v>修为满并不等于自动突破。筑基同时检查灵髓等价、筑基丹产能与可投资净资产；准备不足时停留在炼气大圆满。</x:v>
      </x:c>
    </x:row>
    <x:row r="5" ht="28" customHeight="1">
      <x:c r="A5" s="19" t="str">
        <x:v>键</x:v>
      </x:c>
      <x:c r="B5" s="20" t="str">
        <x:v>玩家画像</x:v>
      </x:c>
      <x:c r="C5" s="20" t="str">
        <x:v>天数</x:v>
      </x:c>
      <x:c r="D5" s="20" t="str">
        <x:v>累计修为</x:v>
      </x:c>
      <x:c r="E5" s="20" t="str">
        <x:v>可投资净资产</x:v>
      </x:c>
      <x:c r="F5" s="20" t="str">
        <x:v>灵髓等价库存</x:v>
      </x:c>
      <x:c r="G5" s="20" t="str">
        <x:v>筑基丹产能</x:v>
      </x:c>
      <x:c r="H5" s="20" t="str">
        <x:v>筑基修为要求</x:v>
      </x:c>
      <x:c r="I5" s="20" t="str">
        <x:v>灵髓要求</x:v>
      </x:c>
      <x:c r="J5" s="20" t="str">
        <x:v>筑基丹要求</x:v>
      </x:c>
      <x:c r="K5" s="20" t="str">
        <x:v>突破总成本</x:v>
      </x:c>
      <x:c r="L5" s="20" t="str">
        <x:v>修为门槛</x:v>
      </x:c>
      <x:c r="M5" s="20" t="str">
        <x:v>材料门槛</x:v>
      </x:c>
      <x:c r="N5" s="20" t="str">
        <x:v>经济门槛</x:v>
      </x:c>
      <x:c r="O5" s="20" t="str">
        <x:v>筑基综合准备度</x:v>
      </x:c>
      <x:c r="P5" s="21" t="str">
        <x:v>实际境界阶段</x:v>
      </x:c>
    </x:row>
    <x:row r="6">
      <x:c r="A6" s="35" t="str">
        <x:f>B6&amp;"|"&amp;C6</x:f>
        <x:v>均衡散修|1</x:v>
      </x:c>
      <x:c r="B6" s="29" t="str">
        <x:v>均衡散修</x:v>
      </x:c>
      <x:c r="C6" s="29" t="n">
        <x:v>1</x:v>
      </x:c>
      <x:c r="D6" s="39" t="n">
        <x:f>SUMIFS('16_玩家成长模拟'!$L$12:$L$32,'16_玩家成长模拟'!$A$12:$A$32,B6,'16_玩家成长模拟'!$B$12:$B$32,C6)</x:f>
        <x:v>2779.3776601609693</x:v>
      </x:c>
      <x:c r="E6" s="39" t="n">
        <x:f>SUMIFS('16_玩家成长模拟'!$AA$12:$AA$32,'16_玩家成长模拟'!$A$12:$A$32,B6,'16_玩家成长模拟'!$B$12:$B$32,C6)</x:f>
        <x:v>9280.589635946439</x:v>
      </x:c>
      <x:c r="F6" s="39" t="n">
        <x:f>VLOOKUP(A6,'18_战力秘境模拟'!$A$6:$R$26,15,FALSE)*'01_核心假设'!$B$57</x:f>
        <x:v>0.35271182571612203</x:v>
      </x:c>
      <x:c r="G6" s="39" t="n">
        <x:f>SUMIFS('16_玩家成长模拟'!$H$12:$H$32,'16_玩家成长模拟'!$A$12:$A$32,B6,'16_玩家成长模拟'!$B$12:$B$32,C6)*'06_炼丹配方'!$U$13*'01_核心假设'!$B$46*MAX(0,(C6-3)/C6)</x:f>
        <x:v>0</x:v>
      </x:c>
      <x:c r="H6" s="39" t="n">
        <x:f>'11_突破成本'!$B$7</x:f>
        <x:v>24100</x:v>
      </x:c>
      <x:c r="I6" s="39" t="n">
        <x:f>'11_突破成本'!$F$7</x:f>
        <x:v>3</x:v>
      </x:c>
      <x:c r="J6" s="39" t="n">
        <x:f>'11_突破成本'!$D$7</x:f>
        <x:v>1</x:v>
      </x:c>
      <x:c r="K6" s="39" t="n">
        <x:f>'11_突破成本'!$P$7</x:f>
        <x:v>3730</x:v>
      </x:c>
      <x:c r="L6" s="87" t="n">
        <x:f>IF(D6&gt;=H6,1,0)</x:f>
        <x:v>0</x:v>
      </x:c>
      <x:c r="M6" s="87" t="n">
        <x:f>IF(AND(F6&gt;=I6,G6&gt;=J6),1,0)</x:f>
        <x:v>0</x:v>
      </x:c>
      <x:c r="N6" s="87" t="n">
        <x:f>IF(E6&gt;=K6*'01_核心假设'!$B$48,1,0)</x:f>
        <x:v>1</x:v>
      </x:c>
      <x:c r="O6" s="90" t="n">
        <x:f>MIN(1,D6/H6,F6/I6,G6/J6,E6/(K6*'01_核心假设'!$B$48))</x:f>
        <x:v>0</x:v>
      </x:c>
      <x:c r="P6" s="85" t="str">
        <x:f>IF(AND(L6=1,M6=1,N6=1),VLOOKUP(D6,'02_境界时间轴'!$A$6:$B$17,2,TRUE),VLOOKUP(MIN(D6,H6-1),'02_境界时间轴'!$A$6:$B$17,2,TRUE))</x:f>
        <x:v>炼气中期</x:v>
      </x:c>
    </x:row>
    <x:row r="7">
      <x:c r="A7" s="36" t="str">
        <x:f>B7&amp;"|"&amp;C7</x:f>
        <x:v>均衡散修|7</x:v>
      </x:c>
      <x:c r="B7" s="30" t="str">
        <x:v>均衡散修</x:v>
      </x:c>
      <x:c r="C7" s="30" t="n">
        <x:v>7</x:v>
      </x:c>
      <x:c r="D7" s="41" t="n">
        <x:f>SUMIFS('16_玩家成长模拟'!$L$12:$L$32,'16_玩家成长模拟'!$A$12:$A$32,B7,'16_玩家成长模拟'!$B$12:$B$32,C7)</x:f>
        <x:v>22755.104929775825</x:v>
      </x:c>
      <x:c r="E7" s="41" t="n">
        <x:f>SUMIFS('16_玩家成长模拟'!$AA$12:$AA$32,'16_玩家成长模拟'!$A$12:$A$32,B7,'16_玩家成长模拟'!$B$12:$B$32,C7)</x:f>
        <x:v>71778.62227768952</x:v>
      </x:c>
      <x:c r="F7" s="41" t="n">
        <x:f>VLOOKUP(A7,'18_战力秘境模拟'!$A$6:$R$26,15,FALSE)*'01_核心假设'!$B$57</x:f>
        <x:v>2.1354778642479757</x:v>
      </x:c>
      <x:c r="G7" s="41" t="n">
        <x:f>SUMIFS('16_玩家成长模拟'!$H$12:$H$32,'16_玩家成长模拟'!$A$12:$A$32,B7,'16_玩家成长模拟'!$B$12:$B$32,C7)*'06_炼丹配方'!$U$13*'01_核心假设'!$B$46*MAX(0,(C7-3)/C7)</x:f>
        <x:v>1.4863564800000004</x:v>
      </x:c>
      <x:c r="H7" s="41" t="n">
        <x:f>'11_突破成本'!$B$7</x:f>
        <x:v>24100</x:v>
      </x:c>
      <x:c r="I7" s="41" t="n">
        <x:f>'11_突破成本'!$F$7</x:f>
        <x:v>3</x:v>
      </x:c>
      <x:c r="J7" s="41" t="n">
        <x:f>'11_突破成本'!$D$7</x:f>
        <x:v>1</x:v>
      </x:c>
      <x:c r="K7" s="41" t="n">
        <x:f>'11_突破成本'!$P$7</x:f>
        <x:v>3730</x:v>
      </x:c>
      <x:c r="L7" s="88" t="n">
        <x:f>IF(D7&gt;=H7,1,0)</x:f>
        <x:v>0</x:v>
      </x:c>
      <x:c r="M7" s="88" t="n">
        <x:f>IF(AND(F7&gt;=I7,G7&gt;=J7),1,0)</x:f>
        <x:v>0</x:v>
      </x:c>
      <x:c r="N7" s="88" t="n">
        <x:f>IF(E7&gt;=K7*'01_核心假设'!$B$48,1,0)</x:f>
        <x:v>1</x:v>
      </x:c>
      <x:c r="O7" s="91" t="n">
        <x:f>MIN(1,D7/H7,F7/I7,G7/J7,E7/(K7*'01_核心假设'!$B$48))</x:f>
        <x:v>0.7118259547493252</x:v>
      </x:c>
      <x:c r="P7" s="44" t="str">
        <x:f>IF(AND(L7=1,M7=1,N7=1),VLOOKUP(D7,'02_境界时间轴'!$A$6:$B$17,2,TRUE),VLOOKUP(MIN(D7,H7-1),'02_境界时间轴'!$A$6:$B$17,2,TRUE))</x:f>
        <x:v>炼气大圆满</x:v>
      </x:c>
    </x:row>
    <x:row r="8">
      <x:c r="A8" s="36" t="str">
        <x:f>B8&amp;"|"&amp;C8</x:f>
        <x:v>均衡散修|10</x:v>
      </x:c>
      <x:c r="B8" s="30" t="str">
        <x:v>均衡散修</x:v>
      </x:c>
      <x:c r="C8" s="30" t="n">
        <x:v>10</x:v>
      </x:c>
      <x:c r="D8" s="41" t="n">
        <x:f>SUMIFS('16_玩家成长模拟'!$L$12:$L$32,'16_玩家成长模拟'!$A$12:$A$32,B8,'16_玩家成长模拟'!$B$12:$B$32,C8)</x:f>
        <x:v>33716.34438290663</x:v>
      </x:c>
      <x:c r="E8" s="41" t="n">
        <x:f>SUMIFS('16_玩家成长模拟'!$AA$12:$AA$32,'16_玩家成长模拟'!$A$12:$A$32,B8,'16_玩家成长模拟'!$B$12:$B$32,C8)</x:f>
        <x:v>145150.3880187836</x:v>
      </x:c>
      <x:c r="F8" s="41" t="n">
        <x:f>VLOOKUP(A8,'18_战力秘境模拟'!$A$6:$R$26,15,FALSE)*'01_核心假设'!$B$57</x:f>
        <x:v>3.0506826632113935</x:v>
      </x:c>
      <x:c r="G8" s="41" t="n">
        <x:f>SUMIFS('16_玩家成长模拟'!$H$12:$H$32,'16_玩家成长模拟'!$A$12:$A$32,B8,'16_玩家成长模拟'!$B$12:$B$32,C8)*'06_炼丹配方'!$U$13*'01_核心假设'!$B$46*MAX(0,(C8-3)/C8)</x:f>
        <x:v>2.601123840000001</x:v>
      </x:c>
      <x:c r="H8" s="41" t="n">
        <x:f>'11_突破成本'!$B$7</x:f>
        <x:v>24100</x:v>
      </x:c>
      <x:c r="I8" s="41" t="n">
        <x:f>'11_突破成本'!$F$7</x:f>
        <x:v>3</x:v>
      </x:c>
      <x:c r="J8" s="41" t="n">
        <x:f>'11_突破成本'!$D$7</x:f>
        <x:v>1</x:v>
      </x:c>
      <x:c r="K8" s="41" t="n">
        <x:f>'11_突破成本'!$P$7</x:f>
        <x:v>3730</x:v>
      </x:c>
      <x:c r="L8" s="88" t="n">
        <x:f>IF(D8&gt;=H8,1,0)</x:f>
        <x:v>1</x:v>
      </x:c>
      <x:c r="M8" s="88" t="n">
        <x:f>IF(AND(F8&gt;=I8,G8&gt;=J8),1,0)</x:f>
        <x:v>1</x:v>
      </x:c>
      <x:c r="N8" s="88" t="n">
        <x:f>IF(E8&gt;=K8*'01_核心假设'!$B$48,1,0)</x:f>
        <x:v>1</x:v>
      </x:c>
      <x:c r="O8" s="91" t="n">
        <x:f>MIN(1,D8/H8,F8/I8,G8/J8,E8/(K8*'01_核心假设'!$B$48))</x:f>
        <x:v>1</x:v>
      </x:c>
      <x:c r="P8" s="44" t="str">
        <x:f>IF(AND(L8=1,M8=1,N8=1),VLOOKUP(D8,'02_境界时间轴'!$A$6:$B$17,2,TRUE),VLOOKUP(MIN(D8,H8-1),'02_境界时间轴'!$A$6:$B$17,2,TRUE))</x:f>
        <x:v>筑基初期</x:v>
      </x:c>
    </x:row>
    <x:row r="9">
      <x:c r="A9" s="36" t="str">
        <x:f>B9&amp;"|"&amp;C9</x:f>
        <x:v>均衡散修|30</x:v>
      </x:c>
      <x:c r="B9" s="30" t="str">
        <x:v>均衡散修</x:v>
      </x:c>
      <x:c r="C9" s="30" t="n">
        <x:v>30</x:v>
      </x:c>
      <x:c r="D9" s="41" t="n">
        <x:f>SUMIFS('16_玩家成长模拟'!$L$12:$L$32,'16_玩家成长模拟'!$A$12:$A$32,B9,'16_玩家成长模拟'!$B$12:$B$32,C9)</x:f>
        <x:v>112024.09548275507</x:v>
      </x:c>
      <x:c r="E9" s="41" t="n">
        <x:f>SUMIFS('16_玩家成长模拟'!$AA$12:$AA$32,'16_玩家成长模拟'!$A$12:$A$32,B9,'16_玩家成长模拟'!$B$12:$B$32,C9)</x:f>
        <x:v>533259.3335117085</x:v>
      </x:c>
      <x:c r="F9" s="41" t="n">
        <x:f>VLOOKUP(A9,'18_战力秘境模拟'!$A$6:$R$26,15,FALSE)*'01_核心假设'!$B$57</x:f>
        <x:v>8.349586577226717</x:v>
      </x:c>
      <x:c r="G9" s="41" t="n">
        <x:f>SUMIFS('16_玩家成长模拟'!$H$12:$H$32,'16_玩家成长模拟'!$A$12:$A$32,B9,'16_玩家成长模拟'!$B$12:$B$32,C9)*'06_炼丹配方'!$U$13*'01_核心假设'!$B$46*MAX(0,(C9-3)/C9)</x:f>
        <x:v>10.032906240000004</x:v>
      </x:c>
      <x:c r="H9" s="41" t="n">
        <x:f>'11_突破成本'!$B$7</x:f>
        <x:v>24100</x:v>
      </x:c>
      <x:c r="I9" s="41" t="n">
        <x:f>'11_突破成本'!$F$7</x:f>
        <x:v>3</x:v>
      </x:c>
      <x:c r="J9" s="41" t="n">
        <x:f>'11_突破成本'!$D$7</x:f>
        <x:v>1</x:v>
      </x:c>
      <x:c r="K9" s="41" t="n">
        <x:f>'11_突破成本'!$P$7</x:f>
        <x:v>3730</x:v>
      </x:c>
      <x:c r="L9" s="88" t="n">
        <x:f>IF(D9&gt;=H9,1,0)</x:f>
        <x:v>1</x:v>
      </x:c>
      <x:c r="M9" s="88" t="n">
        <x:f>IF(AND(F9&gt;=I9,G9&gt;=J9),1,0)</x:f>
        <x:v>1</x:v>
      </x:c>
      <x:c r="N9" s="88" t="n">
        <x:f>IF(E9&gt;=K9*'01_核心假设'!$B$48,1,0)</x:f>
        <x:v>1</x:v>
      </x:c>
      <x:c r="O9" s="91" t="n">
        <x:f>MIN(1,D9/H9,F9/I9,G9/J9,E9/(K9*'01_核心假设'!$B$48))</x:f>
        <x:v>1</x:v>
      </x:c>
      <x:c r="P9" s="44" t="str">
        <x:f>IF(AND(L9=1,M9=1,N9=1),VLOOKUP(D9,'02_境界时间轴'!$A$6:$B$17,2,TRUE),VLOOKUP(MIN(D9,H9-1),'02_境界时间轴'!$A$6:$B$17,2,TRUE))</x:f>
        <x:v>筑基后期</x:v>
      </x:c>
    </x:row>
    <x:row r="10">
      <x:c r="A10" s="36" t="str">
        <x:f>B10&amp;"|"&amp;C10</x:f>
        <x:v>均衡散修|90</x:v>
      </x:c>
      <x:c r="B10" s="30" t="str">
        <x:v>均衡散修</x:v>
      </x:c>
      <x:c r="C10" s="30" t="n">
        <x:v>90</x:v>
      </x:c>
      <x:c r="D10" s="41" t="n">
        <x:f>SUMIFS('16_玩家成长模拟'!$L$12:$L$32,'16_玩家成长模拟'!$A$12:$A$32,B10,'16_玩家成长模拟'!$B$12:$B$32,C10)</x:f>
        <x:v>365978.78224835015</x:v>
      </x:c>
      <x:c r="E10" s="41" t="n">
        <x:f>SUMIFS('16_玩家成长模拟'!$AA$12:$AA$32,'16_玩家成长模拟'!$A$12:$A$32,B10,'16_玩家成长模拟'!$B$12:$B$32,C10)</x:f>
        <x:v>1713208.522910771</x:v>
      </x:c>
      <x:c r="F10" s="41" t="n">
        <x:f>VLOOKUP(A10,'18_战力秘境模拟'!$A$6:$R$26,15,FALSE)*'01_核心假设'!$B$57</x:f>
        <x:v>19.07751759232399</x:v>
      </x:c>
      <x:c r="G10" s="41" t="n">
        <x:f>SUMIFS('16_玩家成长模拟'!$H$12:$H$32,'16_玩家成长模拟'!$A$12:$A$32,B10,'16_玩家成长模拟'!$B$12:$B$32,C10)*'06_炼丹配方'!$U$13*'01_核心假设'!$B$46*MAX(0,(C10-3)/C10)</x:f>
        <x:v>32.32825344000001</x:v>
      </x:c>
      <x:c r="H10" s="41" t="n">
        <x:f>'11_突破成本'!$B$7</x:f>
        <x:v>24100</x:v>
      </x:c>
      <x:c r="I10" s="41" t="n">
        <x:f>'11_突破成本'!$F$7</x:f>
        <x:v>3</x:v>
      </x:c>
      <x:c r="J10" s="41" t="n">
        <x:f>'11_突破成本'!$D$7</x:f>
        <x:v>1</x:v>
      </x:c>
      <x:c r="K10" s="41" t="n">
        <x:f>'11_突破成本'!$P$7</x:f>
        <x:v>3730</x:v>
      </x:c>
      <x:c r="L10" s="88" t="n">
        <x:f>IF(D10&gt;=H10,1,0)</x:f>
        <x:v>1</x:v>
      </x:c>
      <x:c r="M10" s="88" t="n">
        <x:f>IF(AND(F10&gt;=I10,G10&gt;=J10),1,0)</x:f>
        <x:v>1</x:v>
      </x:c>
      <x:c r="N10" s="88" t="n">
        <x:f>IF(E10&gt;=K10*'01_核心假设'!$B$48,1,0)</x:f>
        <x:v>1</x:v>
      </x:c>
      <x:c r="O10" s="91" t="n">
        <x:f>MIN(1,D10/H10,F10/I10,G10/J10,E10/(K10*'01_核心假设'!$B$48))</x:f>
        <x:v>1</x:v>
      </x:c>
      <x:c r="P10" s="44" t="str">
        <x:f>IF(AND(L10=1,M10=1,N10=1),VLOOKUP(D10,'02_境界时间轴'!$A$6:$B$17,2,TRUE),VLOOKUP(MIN(D10,H10-1),'02_境界时间轴'!$A$6:$B$17,2,TRUE))</x:f>
        <x:v>金丹</x:v>
      </x:c>
    </x:row>
    <x:row r="11">
      <x:c r="A11" s="36" t="str">
        <x:f>B11&amp;"|"&amp;C11</x:f>
        <x:v>均衡散修|180</x:v>
      </x:c>
      <x:c r="B11" s="30" t="str">
        <x:v>均衡散修</x:v>
      </x:c>
      <x:c r="C11" s="30" t="n">
        <x:v>180</x:v>
      </x:c>
      <x:c r="D11" s="41" t="n">
        <x:f>SUMIFS('16_玩家成长模拟'!$L$12:$L$32,'16_玩家成长模拟'!$A$12:$A$32,B11,'16_玩家成长模拟'!$B$12:$B$32,C11)</x:f>
        <x:v>785043.409676021</x:v>
      </x:c>
      <x:c r="E11" s="41" t="n">
        <x:f>SUMIFS('16_玩家成长模拟'!$AA$12:$AA$32,'16_玩家成长模拟'!$A$12:$A$32,B11,'16_玩家成长模拟'!$B$12:$B$32,C11)</x:f>
        <x:v>3706116.6515813926</x:v>
      </x:c>
      <x:c r="F11" s="41" t="n">
        <x:f>VLOOKUP(A11,'18_战力秘境模拟'!$A$6:$R$26,15,FALSE)*'01_核心假设'!$B$57</x:f>
        <x:v>43.4357442319336</x:v>
      </x:c>
      <x:c r="G11" s="41" t="n">
        <x:f>SUMIFS('16_玩家成长模拟'!$H$12:$H$32,'16_玩家成长模拟'!$A$12:$A$32,B11,'16_玩家成长模拟'!$B$12:$B$32,C11)*'06_炼丹配方'!$U$13*'01_核心假设'!$B$46*MAX(0,(C11-3)/C11)</x:f>
        <x:v>65.77127424000003</x:v>
      </x:c>
      <x:c r="H11" s="41" t="n">
        <x:f>'11_突破成本'!$B$7</x:f>
        <x:v>24100</x:v>
      </x:c>
      <x:c r="I11" s="41" t="n">
        <x:f>'11_突破成本'!$F$7</x:f>
        <x:v>3</x:v>
      </x:c>
      <x:c r="J11" s="41" t="n">
        <x:f>'11_突破成本'!$D$7</x:f>
        <x:v>1</x:v>
      </x:c>
      <x:c r="K11" s="41" t="n">
        <x:f>'11_突破成本'!$P$7</x:f>
        <x:v>3730</x:v>
      </x:c>
      <x:c r="L11" s="88" t="n">
        <x:f>IF(D11&gt;=H11,1,0)</x:f>
        <x:v>1</x:v>
      </x:c>
      <x:c r="M11" s="88" t="n">
        <x:f>IF(AND(F11&gt;=I11,G11&gt;=J11),1,0)</x:f>
        <x:v>1</x:v>
      </x:c>
      <x:c r="N11" s="88" t="n">
        <x:f>IF(E11&gt;=K11*'01_核心假设'!$B$48,1,0)</x:f>
        <x:v>1</x:v>
      </x:c>
      <x:c r="O11" s="91" t="n">
        <x:f>MIN(1,D11/H11,F11/I11,G11/J11,E11/(K11*'01_核心假设'!$B$48))</x:f>
        <x:v>1</x:v>
      </x:c>
      <x:c r="P11" s="44" t="str">
        <x:f>IF(AND(L11=1,M11=1,N11=1),VLOOKUP(D11,'02_境界时间轴'!$A$6:$B$17,2,TRUE),VLOOKUP(MIN(D11,H11-1),'02_境界时间轴'!$A$6:$B$17,2,TRUE))</x:f>
        <x:v>元婴</x:v>
      </x:c>
    </x:row>
    <x:row r="12">
      <x:c r="A12" s="36" t="str">
        <x:f>B12&amp;"|"&amp;C12</x:f>
        <x:v>均衡散修|365</x:v>
      </x:c>
      <x:c r="B12" s="30" t="str">
        <x:v>均衡散修</x:v>
      </x:c>
      <x:c r="C12" s="30" t="n">
        <x:v>365</x:v>
      </x:c>
      <x:c r="D12" s="41" t="n">
        <x:f>SUMIFS('16_玩家成长模拟'!$L$12:$L$32,'16_玩家成长模拟'!$A$12:$A$32,B12,'16_玩家成长模拟'!$B$12:$B$32,C12)</x:f>
        <x:v>1697854.7831599417</x:v>
      </x:c>
      <x:c r="E12" s="41" t="n">
        <x:f>SUMIFS('16_玩家成长模拟'!$AA$12:$AA$32,'16_玩家成长模拟'!$A$12:$A$32,B12,'16_玩家成长模拟'!$B$12:$B$32,C12)</x:f>
        <x:v>8036045.911826206</x:v>
      </x:c>
      <x:c r="F12" s="41" t="n">
        <x:f>VLOOKUP(A12,'18_战力秘境模拟'!$A$6:$R$26,15,FALSE)*'01_核心假设'!$B$57</x:f>
        <x:v>95.34422069303223</x:v>
      </x:c>
      <x:c r="G12" s="41" t="n">
        <x:f>SUMIFS('16_玩家成长模拟'!$H$12:$H$32,'16_玩家成长模拟'!$A$12:$A$32,B12,'16_玩家成长模拟'!$B$12:$B$32,C12)*'06_炼丹配方'!$U$13*'01_核心假设'!$B$46*MAX(0,(C12-3)/C12)</x:f>
        <x:v>134.51526144000005</x:v>
      </x:c>
      <x:c r="H12" s="41" t="n">
        <x:f>'11_突破成本'!$B$7</x:f>
        <x:v>24100</x:v>
      </x:c>
      <x:c r="I12" s="41" t="n">
        <x:f>'11_突破成本'!$F$7</x:f>
        <x:v>3</x:v>
      </x:c>
      <x:c r="J12" s="41" t="n">
        <x:f>'11_突破成本'!$D$7</x:f>
        <x:v>1</x:v>
      </x:c>
      <x:c r="K12" s="41" t="n">
        <x:f>'11_突破成本'!$P$7</x:f>
        <x:v>3730</x:v>
      </x:c>
      <x:c r="L12" s="88" t="n">
        <x:f>IF(D12&gt;=H12,1,0)</x:f>
        <x:v>1</x:v>
      </x:c>
      <x:c r="M12" s="88" t="n">
        <x:f>IF(AND(F12&gt;=I12,G12&gt;=J12),1,0)</x:f>
        <x:v>1</x:v>
      </x:c>
      <x:c r="N12" s="88" t="n">
        <x:f>IF(E12&gt;=K12*'01_核心假设'!$B$48,1,0)</x:f>
        <x:v>1</x:v>
      </x:c>
      <x:c r="O12" s="91" t="n">
        <x:f>MIN(1,D12/H12,F12/I12,G12/J12,E12/(K12*'01_核心假设'!$B$48))</x:f>
        <x:v>1</x:v>
      </x:c>
      <x:c r="P12" s="44" t="str">
        <x:f>IF(AND(L12=1,M12=1,N12=1),VLOOKUP(D12,'02_境界时间轴'!$A$6:$B$17,2,TRUE),VLOOKUP(MIN(D12,H12-1),'02_境界时间轴'!$A$6:$B$17,2,TRUE))</x:f>
        <x:v>化神</x:v>
      </x:c>
    </x:row>
    <x:row r="13">
      <x:c r="A13" s="36" t="str">
        <x:f>B13&amp;"|"&amp;C13</x:f>
        <x:v>专精丹师|1</x:v>
      </x:c>
      <x:c r="B13" s="30" t="str">
        <x:v>专精丹师</x:v>
      </x:c>
      <x:c r="C13" s="30" t="n">
        <x:v>1</x:v>
      </x:c>
      <x:c r="D13" s="41" t="n">
        <x:f>SUMIFS('16_玩家成长模拟'!$L$12:$L$32,'16_玩家成长模拟'!$A$12:$A$32,B13,'16_玩家成长模拟'!$B$12:$B$32,C13)</x:f>
        <x:v>2067.0887183041064</x:v>
      </x:c>
      <x:c r="E13" s="41" t="n">
        <x:f>SUMIFS('16_玩家成长模拟'!$AA$12:$AA$32,'16_玩家成长模拟'!$A$12:$A$32,B13,'16_玩家成长模拟'!$B$12:$B$32,C13)</x:f>
        <x:v>7071.949010604576</x:v>
      </x:c>
      <x:c r="F13" s="41" t="n">
        <x:f>VLOOKUP(A13,'18_战力秘境模拟'!$A$6:$R$26,15,FALSE)*'01_核心假设'!$B$57</x:f>
        <x:v>0.24388817683520453</x:v>
      </x:c>
      <x:c r="G13" s="41" t="n">
        <x:f>SUMIFS('16_玩家成长模拟'!$H$12:$H$32,'16_玩家成长模拟'!$A$12:$A$32,B13,'16_玩家成长模拟'!$B$12:$B$32,C13)*'06_炼丹配方'!$U$13*'01_核心假设'!$B$46*MAX(0,(C13-3)/C13)</x:f>
        <x:v>0</x:v>
      </x:c>
      <x:c r="H13" s="41" t="n">
        <x:f>'11_突破成本'!$B$7</x:f>
        <x:v>24100</x:v>
      </x:c>
      <x:c r="I13" s="41" t="n">
        <x:f>'11_突破成本'!$F$7</x:f>
        <x:v>3</x:v>
      </x:c>
      <x:c r="J13" s="41" t="n">
        <x:f>'11_突破成本'!$D$7</x:f>
        <x:v>1</x:v>
      </x:c>
      <x:c r="K13" s="41" t="n">
        <x:f>'11_突破成本'!$P$7</x:f>
        <x:v>3730</x:v>
      </x:c>
      <x:c r="L13" s="88" t="n">
        <x:f>IF(D13&gt;=H13,1,0)</x:f>
        <x:v>0</x:v>
      </x:c>
      <x:c r="M13" s="88" t="n">
        <x:f>IF(AND(F13&gt;=I13,G13&gt;=J13),1,0)</x:f>
        <x:v>0</x:v>
      </x:c>
      <x:c r="N13" s="88" t="n">
        <x:f>IF(E13&gt;=K13*'01_核心假设'!$B$48,1,0)</x:f>
        <x:v>1</x:v>
      </x:c>
      <x:c r="O13" s="91" t="n">
        <x:f>MIN(1,D13/H13,F13/I13,G13/J13,E13/(K13*'01_核心假设'!$B$48))</x:f>
        <x:v>0</x:v>
      </x:c>
      <x:c r="P13" s="44" t="str">
        <x:f>IF(AND(L13=1,M13=1,N13=1),VLOOKUP(D13,'02_境界时间轴'!$A$6:$B$17,2,TRUE),VLOOKUP(MIN(D13,H13-1),'02_境界时间轴'!$A$6:$B$17,2,TRUE))</x:f>
        <x:v>炼气初期</x:v>
      </x:c>
    </x:row>
    <x:row r="14">
      <x:c r="A14" s="36" t="str">
        <x:f>B14&amp;"|"&amp;C14</x:f>
        <x:v>专精丹师|7</x:v>
      </x:c>
      <x:c r="B14" s="30" t="str">
        <x:v>专精丹师</x:v>
      </x:c>
      <x:c r="C14" s="30" t="n">
        <x:v>7</x:v>
      </x:c>
      <x:c r="D14" s="41" t="n">
        <x:f>SUMIFS('16_玩家成长模拟'!$L$12:$L$32,'16_玩家成长模拟'!$A$12:$A$32,B14,'16_玩家成长模拟'!$B$12:$B$32,C14)</x:f>
        <x:v>16976.645703023496</x:v>
      </x:c>
      <x:c r="E14" s="41" t="n">
        <x:f>SUMIFS('16_玩家成长模拟'!$AA$12:$AA$32,'16_玩家成长模拟'!$A$12:$A$32,B14,'16_玩家成长模拟'!$B$12:$B$32,C14)</x:f>
        <x:v>59867.23596897219</x:v>
      </x:c>
      <x:c r="F14" s="41" t="n">
        <x:f>VLOOKUP(A14,'18_战力秘境模拟'!$A$6:$R$26,15,FALSE)*'01_核心假设'!$B$57</x:f>
        <x:v>1.4766099830249308</x:v>
      </x:c>
      <x:c r="G14" s="41" t="n">
        <x:f>SUMIFS('16_玩家成长模拟'!$H$12:$H$32,'16_玩家成长模拟'!$A$12:$A$32,B14,'16_玩家成长模拟'!$B$12:$B$32,C14)*'06_炼丹配方'!$U$13*'01_核心假设'!$B$46*MAX(0,(C14-3)/C14)</x:f>
        <x:v>2.972712960000001</x:v>
      </x:c>
      <x:c r="H14" s="41" t="n">
        <x:f>'11_突破成本'!$B$7</x:f>
        <x:v>24100</x:v>
      </x:c>
      <x:c r="I14" s="41" t="n">
        <x:f>'11_突破成本'!$F$7</x:f>
        <x:v>3</x:v>
      </x:c>
      <x:c r="J14" s="41" t="n">
        <x:f>'11_突破成本'!$D$7</x:f>
        <x:v>1</x:v>
      </x:c>
      <x:c r="K14" s="41" t="n">
        <x:f>'11_突破成本'!$P$7</x:f>
        <x:v>3730</x:v>
      </x:c>
      <x:c r="L14" s="88" t="n">
        <x:f>IF(D14&gt;=H14,1,0)</x:f>
        <x:v>0</x:v>
      </x:c>
      <x:c r="M14" s="88" t="n">
        <x:f>IF(AND(F14&gt;=I14,G14&gt;=J14),1,0)</x:f>
        <x:v>0</x:v>
      </x:c>
      <x:c r="N14" s="88" t="n">
        <x:f>IF(E14&gt;=K14*'01_核心假设'!$B$48,1,0)</x:f>
        <x:v>1</x:v>
      </x:c>
      <x:c r="O14" s="91" t="n">
        <x:f>MIN(1,D14/H14,F14/I14,G14/J14,E14/(K14*'01_核心假设'!$B$48))</x:f>
        <x:v>0.49220332767497693</x:v>
      </x:c>
      <x:c r="P14" s="44" t="str">
        <x:f>IF(AND(L14=1,M14=1,N14=1),VLOOKUP(D14,'02_境界时间轴'!$A$6:$B$17,2,TRUE),VLOOKUP(MIN(D14,H14-1),'02_境界时间轴'!$A$6:$B$17,2,TRUE))</x:f>
        <x:v>炼气大圆满</x:v>
      </x:c>
    </x:row>
    <x:row r="15">
      <x:c r="A15" s="36" t="str">
        <x:f>B15&amp;"|"&amp;C15</x:f>
        <x:v>专精丹师|10</x:v>
      </x:c>
      <x:c r="B15" s="30" t="str">
        <x:v>专精丹师</x:v>
      </x:c>
      <x:c r="C15" s="30" t="n">
        <x:v>10</x:v>
      </x:c>
      <x:c r="D15" s="41" t="n">
        <x:f>SUMIFS('16_玩家成长模拟'!$L$12:$L$32,'16_玩家成长模拟'!$A$12:$A$32,B15,'16_玩家成长模拟'!$B$12:$B$32,C15)</x:f>
        <x:v>25162.389862662094</x:v>
      </x:c>
      <x:c r="E15" s="41" t="n">
        <x:f>SUMIFS('16_玩家成长模拟'!$AA$12:$AA$32,'16_玩家成长模拟'!$A$12:$A$32,B15,'16_玩家成长模拟'!$B$12:$B$32,C15)</x:f>
        <x:v>120367.33396265324</x:v>
      </x:c>
      <x:c r="F15" s="41" t="n">
        <x:f>VLOOKUP(A15,'18_战力秘境模拟'!$A$6:$R$26,15,FALSE)*'01_核心假设'!$B$57</x:f>
        <x:v>2.1094428328927584</x:v>
      </x:c>
      <x:c r="G15" s="41" t="n">
        <x:f>SUMIFS('16_玩家成长模拟'!$H$12:$H$32,'16_玩家成长模拟'!$A$12:$A$32,B15,'16_玩家成长模拟'!$B$12:$B$32,C15)*'06_炼丹配方'!$U$13*'01_核心假设'!$B$46*MAX(0,(C15-3)/C15)</x:f>
        <x:v>5.202247680000002</x:v>
      </x:c>
      <x:c r="H15" s="41" t="n">
        <x:f>'11_突破成本'!$B$7</x:f>
        <x:v>24100</x:v>
      </x:c>
      <x:c r="I15" s="41" t="n">
        <x:f>'11_突破成本'!$F$7</x:f>
        <x:v>3</x:v>
      </x:c>
      <x:c r="J15" s="41" t="n">
        <x:f>'11_突破成本'!$D$7</x:f>
        <x:v>1</x:v>
      </x:c>
      <x:c r="K15" s="41" t="n">
        <x:f>'11_突破成本'!$P$7</x:f>
        <x:v>3730</x:v>
      </x:c>
      <x:c r="L15" s="88" t="n">
        <x:f>IF(D15&gt;=H15,1,0)</x:f>
        <x:v>1</x:v>
      </x:c>
      <x:c r="M15" s="88" t="n">
        <x:f>IF(AND(F15&gt;=I15,G15&gt;=J15),1,0)</x:f>
        <x:v>0</x:v>
      </x:c>
      <x:c r="N15" s="88" t="n">
        <x:f>IF(E15&gt;=K15*'01_核心假设'!$B$48,1,0)</x:f>
        <x:v>1</x:v>
      </x:c>
      <x:c r="O15" s="91" t="n">
        <x:f>MIN(1,D15/H15,F15/I15,G15/J15,E15/(K15*'01_核心假设'!$B$48))</x:f>
        <x:v>0.7031476109642528</x:v>
      </x:c>
      <x:c r="P15" s="44" t="str">
        <x:f>IF(AND(L15=1,M15=1,N15=1),VLOOKUP(D15,'02_境界时间轴'!$A$6:$B$17,2,TRUE),VLOOKUP(MIN(D15,H15-1),'02_境界时间轴'!$A$6:$B$17,2,TRUE))</x:f>
        <x:v>炼气大圆满</x:v>
      </x:c>
    </x:row>
    <x:row r="16">
      <x:c r="A16" s="36" t="str">
        <x:f>B16&amp;"|"&amp;C16</x:f>
        <x:v>专精丹师|30</x:v>
      </x:c>
      <x:c r="B16" s="30" t="str">
        <x:v>专精丹师</x:v>
      </x:c>
      <x:c r="C16" s="30" t="n">
        <x:v>30</x:v>
      </x:c>
      <x:c r="D16" s="41" t="n">
        <x:f>SUMIFS('16_玩家成长模拟'!$L$12:$L$32,'16_玩家成长模拟'!$A$12:$A$32,B16,'16_玩家成长模拟'!$B$12:$B$32,C16)</x:f>
        <x:v>83729.38718122029</x:v>
      </x:c>
      <x:c r="E16" s="41" t="n">
        <x:f>SUMIFS('16_玩家成长模拟'!$AA$12:$AA$32,'16_玩家成长模拟'!$A$12:$A$32,B16,'16_玩家成长模拟'!$B$12:$B$32,C16)</x:f>
        <x:v>436741.2273247057</x:v>
      </x:c>
      <x:c r="F16" s="41" t="n">
        <x:f>VLOOKUP(A16,'18_战力秘境模拟'!$A$6:$R$26,15,FALSE)*'01_核心假设'!$B$57</x:f>
        <x:v>5.773453848656825</x:v>
      </x:c>
      <x:c r="G16" s="41" t="n">
        <x:f>SUMIFS('16_玩家成长模拟'!$H$12:$H$32,'16_玩家成长模拟'!$A$12:$A$32,B16,'16_玩家成长模拟'!$B$12:$B$32,C16)*'06_炼丹配方'!$U$13*'01_核心假设'!$B$46*MAX(0,(C16-3)/C16)</x:f>
        <x:v>20.06581248000001</x:v>
      </x:c>
      <x:c r="H16" s="41" t="n">
        <x:f>'11_突破成本'!$B$7</x:f>
        <x:v>24100</x:v>
      </x:c>
      <x:c r="I16" s="41" t="n">
        <x:f>'11_突破成本'!$F$7</x:f>
        <x:v>3</x:v>
      </x:c>
      <x:c r="J16" s="41" t="n">
        <x:f>'11_突破成本'!$D$7</x:f>
        <x:v>1</x:v>
      </x:c>
      <x:c r="K16" s="41" t="n">
        <x:f>'11_突破成本'!$P$7</x:f>
        <x:v>3730</x:v>
      </x:c>
      <x:c r="L16" s="88" t="n">
        <x:f>IF(D16&gt;=H16,1,0)</x:f>
        <x:v>1</x:v>
      </x:c>
      <x:c r="M16" s="88" t="n">
        <x:f>IF(AND(F16&gt;=I16,G16&gt;=J16),1,0)</x:f>
        <x:v>1</x:v>
      </x:c>
      <x:c r="N16" s="88" t="n">
        <x:f>IF(E16&gt;=K16*'01_核心假设'!$B$48,1,0)</x:f>
        <x:v>1</x:v>
      </x:c>
      <x:c r="O16" s="91" t="n">
        <x:f>MIN(1,D16/H16,F16/I16,G16/J16,E16/(K16*'01_核心假设'!$B$48))</x:f>
        <x:v>1</x:v>
      </x:c>
      <x:c r="P16" s="44" t="str">
        <x:f>IF(AND(L16=1,M16=1,N16=1),VLOOKUP(D16,'02_境界时间轴'!$A$6:$B$17,2,TRUE),VLOOKUP(MIN(D16,H16-1),'02_境界时间轴'!$A$6:$B$17,2,TRUE))</x:f>
        <x:v>筑基中期</x:v>
      </x:c>
    </x:row>
    <x:row r="17">
      <x:c r="A17" s="36" t="str">
        <x:f>B17&amp;"|"&amp;C17</x:f>
        <x:v>专精丹师|90</x:v>
      </x:c>
      <x:c r="B17" s="30" t="str">
        <x:v>专精丹师</x:v>
      </x:c>
      <x:c r="C17" s="30" t="n">
        <x:v>90</x:v>
      </x:c>
      <x:c r="D17" s="41" t="n">
        <x:f>SUMIFS('16_玩家成长模拟'!$L$12:$L$32,'16_玩家成长模拟'!$A$12:$A$32,B17,'16_玩家成长模拟'!$B$12:$B$32,C17)</x:f>
        <x:v>274120.2426646608</x:v>
      </x:c>
      <x:c r="E17" s="41" t="n">
        <x:f>SUMIFS('16_玩家成长模拟'!$AA$12:$AA$32,'16_玩家成长模拟'!$A$12:$A$32,B17,'16_玩家成长模拟'!$B$12:$B$32,C17)</x:f>
        <x:v>1430311.3671101152</x:v>
      </x:c>
      <x:c r="F17" s="41" t="n">
        <x:f>VLOOKUP(A17,'18_战力秘境模拟'!$A$6:$R$26,15,FALSE)*'01_核心假设'!$B$57</x:f>
        <x:v>13.191451618291362</x:v>
      </x:c>
      <x:c r="G17" s="41" t="n">
        <x:f>SUMIFS('16_玩家成长模拟'!$H$12:$H$32,'16_玩家成长模拟'!$A$12:$A$32,B17,'16_玩家成长模拟'!$B$12:$B$32,C17)*'06_炼丹配方'!$U$13*'01_核心假设'!$B$46*MAX(0,(C17-3)/C17)</x:f>
        <x:v>64.65650688000002</x:v>
      </x:c>
      <x:c r="H17" s="41" t="n">
        <x:f>'11_突破成本'!$B$7</x:f>
        <x:v>24100</x:v>
      </x:c>
      <x:c r="I17" s="41" t="n">
        <x:f>'11_突破成本'!$F$7</x:f>
        <x:v>3</x:v>
      </x:c>
      <x:c r="J17" s="41" t="n">
        <x:f>'11_突破成本'!$D$7</x:f>
        <x:v>1</x:v>
      </x:c>
      <x:c r="K17" s="41" t="n">
        <x:f>'11_突破成本'!$P$7</x:f>
        <x:v>3730</x:v>
      </x:c>
      <x:c r="L17" s="88" t="n">
        <x:f>IF(D17&gt;=H17,1,0)</x:f>
        <x:v>1</x:v>
      </x:c>
      <x:c r="M17" s="88" t="n">
        <x:f>IF(AND(F17&gt;=I17,G17&gt;=J17),1,0)</x:f>
        <x:v>1</x:v>
      </x:c>
      <x:c r="N17" s="88" t="n">
        <x:f>IF(E17&gt;=K17*'01_核心假设'!$B$48,1,0)</x:f>
        <x:v>1</x:v>
      </x:c>
      <x:c r="O17" s="91" t="n">
        <x:f>MIN(1,D17/H17,F17/I17,G17/J17,E17/(K17*'01_核心假设'!$B$48))</x:f>
        <x:v>1</x:v>
      </x:c>
      <x:c r="P17" s="44" t="str">
        <x:f>IF(AND(L17=1,M17=1,N17=1),VLOOKUP(D17,'02_境界时间轴'!$A$6:$B$17,2,TRUE),VLOOKUP(MIN(D17,H17-1),'02_境界时间轴'!$A$6:$B$17,2,TRUE))</x:f>
        <x:v>金丹</x:v>
      </x:c>
    </x:row>
    <x:row r="18">
      <x:c r="A18" s="36" t="str">
        <x:f>B18&amp;"|"&amp;C18</x:f>
        <x:v>专精丹师|180</x:v>
      </x:c>
      <x:c r="B18" s="30" t="str">
        <x:v>专精丹师</x:v>
      </x:c>
      <x:c r="C18" s="30" t="n">
        <x:v>180</x:v>
      </x:c>
      <x:c r="D18" s="41" t="n">
        <x:f>SUMIFS('16_玩家成长模拟'!$L$12:$L$32,'16_玩家成长模拟'!$A$12:$A$32,B18,'16_玩家成长模拟'!$B$12:$B$32,C18)</x:f>
        <x:v>587824.5376915893</x:v>
      </x:c>
      <x:c r="E18" s="41" t="n">
        <x:f>SUMIFS('16_玩家成长模拟'!$AA$12:$AA$32,'16_玩家成长模拟'!$A$12:$A$32,B18,'16_玩家成长模拟'!$B$12:$B$32,C18)</x:f>
        <x:v>3088194.3903552108</x:v>
      </x:c>
      <x:c r="F18" s="41" t="n">
        <x:f>VLOOKUP(A18,'18_战力秘境模拟'!$A$6:$R$26,15,FALSE)*'01_核心假设'!$B$57</x:f>
        <x:v>30.03433312364362</x:v>
      </x:c>
      <x:c r="G18" s="41" t="n">
        <x:f>SUMIFS('16_玩家成长模拟'!$H$12:$H$32,'16_玩家成长模拟'!$A$12:$A$32,B18,'16_玩家成长模拟'!$B$12:$B$32,C18)*'06_炼丹配方'!$U$13*'01_核心假设'!$B$46*MAX(0,(C18-3)/C18)</x:f>
        <x:v>131.54254848000005</x:v>
      </x:c>
      <x:c r="H18" s="41" t="n">
        <x:f>'11_突破成本'!$B$7</x:f>
        <x:v>24100</x:v>
      </x:c>
      <x:c r="I18" s="41" t="n">
        <x:f>'11_突破成本'!$F$7</x:f>
        <x:v>3</x:v>
      </x:c>
      <x:c r="J18" s="41" t="n">
        <x:f>'11_突破成本'!$D$7</x:f>
        <x:v>1</x:v>
      </x:c>
      <x:c r="K18" s="41" t="n">
        <x:f>'11_突破成本'!$P$7</x:f>
        <x:v>3730</x:v>
      </x:c>
      <x:c r="L18" s="88" t="n">
        <x:f>IF(D18&gt;=H18,1,0)</x:f>
        <x:v>1</x:v>
      </x:c>
      <x:c r="M18" s="88" t="n">
        <x:f>IF(AND(F18&gt;=I18,G18&gt;=J18),1,0)</x:f>
        <x:v>1</x:v>
      </x:c>
      <x:c r="N18" s="88" t="n">
        <x:f>IF(E18&gt;=K18*'01_核心假设'!$B$48,1,0)</x:f>
        <x:v>1</x:v>
      </x:c>
      <x:c r="O18" s="91" t="n">
        <x:f>MIN(1,D18/H18,F18/I18,G18/J18,E18/(K18*'01_核心假设'!$B$48))</x:f>
        <x:v>1</x:v>
      </x:c>
      <x:c r="P18" s="44" t="str">
        <x:f>IF(AND(L18=1,M18=1,N18=1),VLOOKUP(D18,'02_境界时间轴'!$A$6:$B$17,2,TRUE),VLOOKUP(MIN(D18,H18-1),'02_境界时间轴'!$A$6:$B$17,2,TRUE))</x:f>
        <x:v>元婴</x:v>
      </x:c>
    </x:row>
    <x:row r="19">
      <x:c r="A19" s="36" t="str">
        <x:f>B19&amp;"|"&amp;C19</x:f>
        <x:v>专精丹师|365</x:v>
      </x:c>
      <x:c r="B19" s="30" t="str">
        <x:v>专精丹师</x:v>
      </x:c>
      <x:c r="C19" s="30" t="n">
        <x:v>365</x:v>
      </x:c>
      <x:c r="D19" s="41" t="n">
        <x:f>SUMIFS('16_玩家成长模拟'!$L$12:$L$32,'16_玩家成长模拟'!$A$12:$A$32,B19,'16_玩家成长模拟'!$B$12:$B$32,C19)</x:f>
        <x:v>1271219.9868833674</x:v>
      </x:c>
      <x:c r="E19" s="41" t="n">
        <x:f>SUMIFS('16_玩家成长模拟'!$AA$12:$AA$32,'16_玩家成长模拟'!$A$12:$A$32,B19,'16_玩家成长模拟'!$B$12:$B$32,C19)</x:f>
        <x:v>6693281.696632311</x:v>
      </x:c>
      <x:c r="F19" s="41" t="n">
        <x:f>VLOOKUP(A19,'18_战力秘境模拟'!$A$6:$R$26,15,FALSE)*'01_核心假设'!$B$57</x:f>
        <x:v>65.92727110690163</x:v>
      </x:c>
      <x:c r="G19" s="41" t="n">
        <x:f>SUMIFS('16_玩家成长模拟'!$H$12:$H$32,'16_玩家成长模拟'!$A$12:$A$32,B19,'16_玩家成长模拟'!$B$12:$B$32,C19)*'06_炼丹配方'!$U$13*'01_核心假设'!$B$46*MAX(0,(C19-3)/C19)</x:f>
        <x:v>269.0305228800001</x:v>
      </x:c>
      <x:c r="H19" s="41" t="n">
        <x:f>'11_突破成本'!$B$7</x:f>
        <x:v>24100</x:v>
      </x:c>
      <x:c r="I19" s="41" t="n">
        <x:f>'11_突破成本'!$F$7</x:f>
        <x:v>3</x:v>
      </x:c>
      <x:c r="J19" s="41" t="n">
        <x:f>'11_突破成本'!$D$7</x:f>
        <x:v>1</x:v>
      </x:c>
      <x:c r="K19" s="41" t="n">
        <x:f>'11_突破成本'!$P$7</x:f>
        <x:v>3730</x:v>
      </x:c>
      <x:c r="L19" s="88" t="n">
        <x:f>IF(D19&gt;=H19,1,0)</x:f>
        <x:v>1</x:v>
      </x:c>
      <x:c r="M19" s="88" t="n">
        <x:f>IF(AND(F19&gt;=I19,G19&gt;=J19),1,0)</x:f>
        <x:v>1</x:v>
      </x:c>
      <x:c r="N19" s="88" t="n">
        <x:f>IF(E19&gt;=K19*'01_核心假设'!$B$48,1,0)</x:f>
        <x:v>1</x:v>
      </x:c>
      <x:c r="O19" s="91" t="n">
        <x:f>MIN(1,D19/H19,F19/I19,G19/J19,E19/(K19*'01_核心假设'!$B$48))</x:f>
        <x:v>1</x:v>
      </x:c>
      <x:c r="P19" s="44" t="str">
        <x:f>IF(AND(L19=1,M19=1,N19=1),VLOOKUP(D19,'02_境界时间轴'!$A$6:$B$17,2,TRUE),VLOOKUP(MIN(D19,H19-1),'02_境界时间轴'!$A$6:$B$17,2,TRUE))</x:f>
        <x:v>元婴</x:v>
      </x:c>
    </x:row>
    <x:row r="20">
      <x:c r="A20" s="36" t="str">
        <x:f>B20&amp;"|"&amp;C20</x:f>
        <x:v>秘境修士|1</x:v>
      </x:c>
      <x:c r="B20" s="30" t="str">
        <x:v>秘境修士</x:v>
      </x:c>
      <x:c r="C20" s="30" t="n">
        <x:v>1</x:v>
      </x:c>
      <x:c r="D20" s="41" t="n">
        <x:f>SUMIFS('16_玩家成长模拟'!$L$12:$L$32,'16_玩家成长模拟'!$A$12:$A$32,B20,'16_玩家成长模拟'!$B$12:$B$32,C20)</x:f>
        <x:v>2645.9838680398634</x:v>
      </x:c>
      <x:c r="E20" s="41" t="n">
        <x:f>SUMIFS('16_玩家成长模拟'!$AA$12:$AA$32,'16_玩家成长模拟'!$A$12:$A$32,B20,'16_玩家成长模拟'!$B$12:$B$32,C20)</x:f>
        <x:v>17078.47329141691</x:v>
      </x:c>
      <x:c r="F20" s="41" t="n">
        <x:f>VLOOKUP(A20,'18_战力秘境模拟'!$A$6:$R$26,15,FALSE)*'01_核心假设'!$B$57</x:f>
        <x:v>0.49292976173081704</x:v>
      </x:c>
      <x:c r="G20" s="41" t="n">
        <x:f>SUMIFS('16_玩家成长模拟'!$H$12:$H$32,'16_玩家成长模拟'!$A$12:$A$32,B20,'16_玩家成长模拟'!$B$12:$B$32,C20)*'06_炼丹配方'!$U$13*'01_核心假设'!$B$46*MAX(0,(C20-3)/C20)</x:f>
        <x:v>0</x:v>
      </x:c>
      <x:c r="H20" s="41" t="n">
        <x:f>'11_突破成本'!$B$7</x:f>
        <x:v>24100</x:v>
      </x:c>
      <x:c r="I20" s="41" t="n">
        <x:f>'11_突破成本'!$F$7</x:f>
        <x:v>3</x:v>
      </x:c>
      <x:c r="J20" s="41" t="n">
        <x:f>'11_突破成本'!$D$7</x:f>
        <x:v>1</x:v>
      </x:c>
      <x:c r="K20" s="41" t="n">
        <x:f>'11_突破成本'!$P$7</x:f>
        <x:v>3730</x:v>
      </x:c>
      <x:c r="L20" s="88" t="n">
        <x:f>IF(D20&gt;=H20,1,0)</x:f>
        <x:v>0</x:v>
      </x:c>
      <x:c r="M20" s="88" t="n">
        <x:f>IF(AND(F20&gt;=I20,G20&gt;=J20),1,0)</x:f>
        <x:v>0</x:v>
      </x:c>
      <x:c r="N20" s="88" t="n">
        <x:f>IF(E20&gt;=K20*'01_核心假设'!$B$48,1,0)</x:f>
        <x:v>1</x:v>
      </x:c>
      <x:c r="O20" s="91" t="n">
        <x:f>MIN(1,D20/H20,F20/I20,G20/J20,E20/(K20*'01_核心假设'!$B$48))</x:f>
        <x:v>0</x:v>
      </x:c>
      <x:c r="P20" s="44" t="str">
        <x:f>IF(AND(L20=1,M20=1,N20=1),VLOOKUP(D20,'02_境界时间轴'!$A$6:$B$17,2,TRUE),VLOOKUP(MIN(D20,H20-1),'02_境界时间轴'!$A$6:$B$17,2,TRUE))</x:f>
        <x:v>炼气中期</x:v>
      </x:c>
    </x:row>
    <x:row r="21">
      <x:c r="A21" s="36" t="str">
        <x:f>B21&amp;"|"&amp;C21</x:f>
        <x:v>秘境修士|7</x:v>
      </x:c>
      <x:c r="B21" s="30" t="str">
        <x:v>秘境修士</x:v>
      </x:c>
      <x:c r="C21" s="30" t="n">
        <x:v>7</x:v>
      </x:c>
      <x:c r="D21" s="41" t="n">
        <x:f>SUMIFS('16_玩家成长模拟'!$L$12:$L$32,'16_玩家成长模拟'!$A$12:$A$32,B21,'16_玩家成长模拟'!$B$12:$B$32,C21)</x:f>
        <x:v>21209.95666735811</x:v>
      </x:c>
      <x:c r="E21" s="41" t="n">
        <x:f>SUMIFS('16_玩家成长模拟'!$AA$12:$AA$32,'16_玩家成长模拟'!$A$12:$A$32,B21,'16_玩家成长模拟'!$B$12:$B$32,C21)</x:f>
        <x:v>129533.13447622709</x:v>
      </x:c>
      <x:c r="F21" s="41" t="n">
        <x:f>VLOOKUP(A21,'18_战力秘境模拟'!$A$6:$R$26,15,FALSE)*'01_核心假设'!$B$57</x:f>
        <x:v>2.9844210430653386</x:v>
      </x:c>
      <x:c r="G21" s="41" t="n">
        <x:f>SUMIFS('16_玩家成长模拟'!$H$12:$H$32,'16_玩家成长模拟'!$A$12:$A$32,B21,'16_玩家成长模拟'!$B$12:$B$32,C21)*'06_炼丹配方'!$U$13*'01_核心假设'!$B$46*MAX(0,(C21-3)/C21)</x:f>
        <x:v>1.1147673600000003</x:v>
      </x:c>
      <x:c r="H21" s="41" t="n">
        <x:f>'11_突破成本'!$B$7</x:f>
        <x:v>24100</x:v>
      </x:c>
      <x:c r="I21" s="41" t="n">
        <x:f>'11_突破成本'!$F$7</x:f>
        <x:v>3</x:v>
      </x:c>
      <x:c r="J21" s="41" t="n">
        <x:f>'11_突破成本'!$D$7</x:f>
        <x:v>1</x:v>
      </x:c>
      <x:c r="K21" s="41" t="n">
        <x:f>'11_突破成本'!$P$7</x:f>
        <x:v>3730</x:v>
      </x:c>
      <x:c r="L21" s="88" t="n">
        <x:f>IF(D21&gt;=H21,1,0)</x:f>
        <x:v>0</x:v>
      </x:c>
      <x:c r="M21" s="88" t="n">
        <x:f>IF(AND(F21&gt;=I21,G21&gt;=J21),1,0)</x:f>
        <x:v>0</x:v>
      </x:c>
      <x:c r="N21" s="88" t="n">
        <x:f>IF(E21&gt;=K21*'01_核心假设'!$B$48,1,0)</x:f>
        <x:v>1</x:v>
      </x:c>
      <x:c r="O21" s="91" t="n">
        <x:f>MIN(1,D21/H21,F21/I21,G21/J21,E21/(K21*'01_核心假设'!$B$48))</x:f>
        <x:v>0.880081189516934</x:v>
      </x:c>
      <x:c r="P21" s="44" t="str">
        <x:f>IF(AND(L21=1,M21=1,N21=1),VLOOKUP(D21,'02_境界时间轴'!$A$6:$B$17,2,TRUE),VLOOKUP(MIN(D21,H21-1),'02_境界时间轴'!$A$6:$B$17,2,TRUE))</x:f>
        <x:v>炼气大圆满</x:v>
      </x:c>
    </x:row>
    <x:row r="22">
      <x:c r="A22" s="36" t="str">
        <x:f>B22&amp;"|"&amp;C22</x:f>
        <x:v>秘境修士|10</x:v>
      </x:c>
      <x:c r="B22" s="30" t="str">
        <x:v>秘境修士</x:v>
      </x:c>
      <x:c r="C22" s="30" t="n">
        <x:v>10</x:v>
      </x:c>
      <x:c r="D22" s="41" t="n">
        <x:f>SUMIFS('16_玩家成长模拟'!$L$12:$L$32,'16_玩家成长模拟'!$A$12:$A$32,B22,'16_玩家成长模拟'!$B$12:$B$32,C22)</x:f>
        <x:v>31358.554727359347</x:v>
      </x:c>
      <x:c r="E22" s="41" t="n">
        <x:f>SUMIFS('16_玩家成长模拟'!$AA$12:$AA$32,'16_玩家成长模拟'!$A$12:$A$32,B22,'16_玩家成长模拟'!$B$12:$B$32,C22)</x:f>
        <x:v>267895.7305789191</x:v>
      </x:c>
      <x:c r="F22" s="41" t="n">
        <x:f>VLOOKUP(A22,'18_战力秘境模拟'!$A$6:$R$26,15,FALSE)*'01_核心假设'!$B$57</x:f>
        <x:v>4.263458632950484</x:v>
      </x:c>
      <x:c r="G22" s="41" t="n">
        <x:f>SUMIFS('16_玩家成长模拟'!$H$12:$H$32,'16_玩家成长模拟'!$A$12:$A$32,B22,'16_玩家成长模拟'!$B$12:$B$32,C22)*'06_炼丹配方'!$U$13*'01_核心假设'!$B$46*MAX(0,(C22-3)/C22)</x:f>
        <x:v>1.9508428800000004</x:v>
      </x:c>
      <x:c r="H22" s="41" t="n">
        <x:f>'11_突破成本'!$B$7</x:f>
        <x:v>24100</x:v>
      </x:c>
      <x:c r="I22" s="41" t="n">
        <x:f>'11_突破成本'!$F$7</x:f>
        <x:v>3</x:v>
      </x:c>
      <x:c r="J22" s="41" t="n">
        <x:f>'11_突破成本'!$D$7</x:f>
        <x:v>1</x:v>
      </x:c>
      <x:c r="K22" s="41" t="n">
        <x:f>'11_突破成本'!$P$7</x:f>
        <x:v>3730</x:v>
      </x:c>
      <x:c r="L22" s="88" t="n">
        <x:f>IF(D22&gt;=H22,1,0)</x:f>
        <x:v>1</x:v>
      </x:c>
      <x:c r="M22" s="88" t="n">
        <x:f>IF(AND(F22&gt;=I22,G22&gt;=J22),1,0)</x:f>
        <x:v>1</x:v>
      </x:c>
      <x:c r="N22" s="88" t="n">
        <x:f>IF(E22&gt;=K22*'01_核心假设'!$B$48,1,0)</x:f>
        <x:v>1</x:v>
      </x:c>
      <x:c r="O22" s="91" t="n">
        <x:f>MIN(1,D22/H22,F22/I22,G22/J22,E22/(K22*'01_核心假设'!$B$48))</x:f>
        <x:v>1</x:v>
      </x:c>
      <x:c r="P22" s="44" t="str">
        <x:f>IF(AND(L22=1,M22=1,N22=1),VLOOKUP(D22,'02_境界时间轴'!$A$6:$B$17,2,TRUE),VLOOKUP(MIN(D22,H22-1),'02_境界时间轴'!$A$6:$B$17,2,TRUE))</x:f>
        <x:v>筑基初期</x:v>
      </x:c>
    </x:row>
    <x:row r="23">
      <x:c r="A23" s="36" t="str">
        <x:f>B23&amp;"|"&amp;C23</x:f>
        <x:v>秘境修士|30</x:v>
      </x:c>
      <x:c r="B23" s="30" t="str">
        <x:v>秘境修士</x:v>
      </x:c>
      <x:c r="C23" s="30" t="n">
        <x:v>30</x:v>
      </x:c>
      <x:c r="D23" s="41" t="n">
        <x:f>SUMIFS('16_玩家成长模拟'!$L$12:$L$32,'16_玩家成长模拟'!$A$12:$A$32,B23,'16_玩家成长模拟'!$B$12:$B$32,C23)</x:f>
        <x:v>103114.31054509006</x:v>
      </x:c>
      <x:c r="E23" s="41" t="n">
        <x:f>SUMIFS('16_玩家成长模拟'!$AA$12:$AA$32,'16_玩家成长模拟'!$A$12:$A$32,B23,'16_玩家成长模拟'!$B$12:$B$32,C23)</x:f>
        <x:v>965613.8595795822</x:v>
      </x:c>
      <x:c r="F23" s="41" t="n">
        <x:f>VLOOKUP(A23,'18_战力秘境模拟'!$A$6:$R$26,15,FALSE)*'01_核心假设'!$B$57</x:f>
        <x:v>11.66890198168671</x:v>
      </x:c>
      <x:c r="G23" s="41" t="n">
        <x:f>SUMIFS('16_玩家成长模拟'!$H$12:$H$32,'16_玩家成长模拟'!$A$12:$A$32,B23,'16_玩家成长模拟'!$B$12:$B$32,C23)*'06_炼丹配方'!$U$13*'01_核心假设'!$B$46*MAX(0,(C23-3)/C23)</x:f>
        <x:v>7.524679680000002</x:v>
      </x:c>
      <x:c r="H23" s="41" t="n">
        <x:f>'11_突破成本'!$B$7</x:f>
        <x:v>24100</x:v>
      </x:c>
      <x:c r="I23" s="41" t="n">
        <x:f>'11_突破成本'!$F$7</x:f>
        <x:v>3</x:v>
      </x:c>
      <x:c r="J23" s="41" t="n">
        <x:f>'11_突破成本'!$D$7</x:f>
        <x:v>1</x:v>
      </x:c>
      <x:c r="K23" s="41" t="n">
        <x:f>'11_突破成本'!$P$7</x:f>
        <x:v>3730</x:v>
      </x:c>
      <x:c r="L23" s="88" t="n">
        <x:f>IF(D23&gt;=H23,1,0)</x:f>
        <x:v>1</x:v>
      </x:c>
      <x:c r="M23" s="88" t="n">
        <x:f>IF(AND(F23&gt;=I23,G23&gt;=J23),1,0)</x:f>
        <x:v>1</x:v>
      </x:c>
      <x:c r="N23" s="88" t="n">
        <x:f>IF(E23&gt;=K23*'01_核心假设'!$B$48,1,0)</x:f>
        <x:v>1</x:v>
      </x:c>
      <x:c r="O23" s="91" t="n">
        <x:f>MIN(1,D23/H23,F23/I23,G23/J23,E23/(K23*'01_核心假设'!$B$48))</x:f>
        <x:v>1</x:v>
      </x:c>
      <x:c r="P23" s="44" t="str">
        <x:f>IF(AND(L23=1,M23=1,N23=1),VLOOKUP(D23,'02_境界时间轴'!$A$6:$B$17,2,TRUE),VLOOKUP(MIN(D23,H23-1),'02_境界时间轴'!$A$6:$B$17,2,TRUE))</x:f>
        <x:v>筑基中期</x:v>
      </x:c>
    </x:row>
    <x:row r="24">
      <x:c r="A24" s="36" t="str">
        <x:f>B24&amp;"|"&amp;C24</x:f>
        <x:v>秘境修士|90</x:v>
      </x:c>
      <x:c r="B24" s="30" t="str">
        <x:v>秘境修士</x:v>
      </x:c>
      <x:c r="C24" s="30" t="n">
        <x:v>90</x:v>
      </x:c>
      <x:c r="D24" s="41" t="n">
        <x:f>SUMIFS('16_玩家成长模拟'!$L$12:$L$32,'16_玩家成长模拟'!$A$12:$A$32,B24,'16_玩家成长模拟'!$B$12:$B$32,C24)</x:f>
        <x:v>331932.0487936733</x:v>
      </x:c>
      <x:c r="E24" s="41" t="n">
        <x:f>SUMIFS('16_玩家成长模拟'!$AA$12:$AA$32,'16_玩家成长模拟'!$A$12:$A$32,B24,'16_玩家成长模拟'!$B$12:$B$32,C24)</x:f>
        <x:v>2708856.488646021</x:v>
      </x:c>
      <x:c r="F24" s="41" t="n">
        <x:f>VLOOKUP(A24,'18_战力秘境模拟'!$A$6:$R$26,15,FALSE)*'01_核心假设'!$B$57</x:f>
        <x:v>26.661641361490346</x:v>
      </x:c>
      <x:c r="G24" s="41" t="n">
        <x:f>SUMIFS('16_玩家成长模拟'!$H$12:$H$32,'16_玩家成长模拟'!$A$12:$A$32,B24,'16_玩家成长模拟'!$B$12:$B$32,C24)*'06_炼丹配方'!$U$13*'01_核心假设'!$B$46*MAX(0,(C24-3)/C24)</x:f>
        <x:v>24.246190080000005</x:v>
      </x:c>
      <x:c r="H24" s="41" t="n">
        <x:f>'11_突破成本'!$B$7</x:f>
        <x:v>24100</x:v>
      </x:c>
      <x:c r="I24" s="41" t="n">
        <x:f>'11_突破成本'!$F$7</x:f>
        <x:v>3</x:v>
      </x:c>
      <x:c r="J24" s="41" t="n">
        <x:f>'11_突破成本'!$D$7</x:f>
        <x:v>1</x:v>
      </x:c>
      <x:c r="K24" s="41" t="n">
        <x:f>'11_突破成本'!$P$7</x:f>
        <x:v>3730</x:v>
      </x:c>
      <x:c r="L24" s="88" t="n">
        <x:f>IF(D24&gt;=H24,1,0)</x:f>
        <x:v>1</x:v>
      </x:c>
      <x:c r="M24" s="88" t="n">
        <x:f>IF(AND(F24&gt;=I24,G24&gt;=J24),1,0)</x:f>
        <x:v>1</x:v>
      </x:c>
      <x:c r="N24" s="88" t="n">
        <x:f>IF(E24&gt;=K24*'01_核心假设'!$B$48,1,0)</x:f>
        <x:v>1</x:v>
      </x:c>
      <x:c r="O24" s="91" t="n">
        <x:f>MIN(1,D24/H24,F24/I24,G24/J24,E24/(K24*'01_核心假设'!$B$48))</x:f>
        <x:v>1</x:v>
      </x:c>
      <x:c r="P24" s="44" t="str">
        <x:f>IF(AND(L24=1,M24=1,N24=1),VLOOKUP(D24,'02_境界时间轴'!$A$6:$B$17,2,TRUE),VLOOKUP(MIN(D24,H24-1),'02_境界时间轴'!$A$6:$B$17,2,TRUE))</x:f>
        <x:v>金丹</x:v>
      </x:c>
    </x:row>
    <x:row r="25">
      <x:c r="A25" s="36" t="str">
        <x:f>B25&amp;"|"&amp;C25</x:f>
        <x:v>秘境修士|180</x:v>
      </x:c>
      <x:c r="B25" s="30" t="str">
        <x:v>秘境修士</x:v>
      </x:c>
      <x:c r="C25" s="30" t="n">
        <x:v>180</x:v>
      </x:c>
      <x:c r="D25" s="41" t="n">
        <x:f>SUMIFS('16_玩家成长模拟'!$L$12:$L$32,'16_玩家成长模拟'!$A$12:$A$32,B25,'16_玩家成长模拟'!$B$12:$B$32,C25)</x:f>
        <x:v>713525.1987731444</x:v>
      </x:c>
      <x:c r="E25" s="41" t="n">
        <x:f>SUMIFS('16_玩家成长模拟'!$AA$12:$AA$32,'16_玩家成长模拟'!$A$12:$A$32,B25,'16_玩家成长模拟'!$B$12:$B$32,C25)</x:f>
        <x:v>5851005.518652068</x:v>
      </x:c>
      <x:c r="F25" s="41" t="n">
        <x:f>VLOOKUP(A25,'18_战力秘境模拟'!$A$6:$R$26,15,FALSE)*'01_核心假设'!$B$57</x:f>
        <x:v>60.70329797243619</x:v>
      </x:c>
      <x:c r="G25" s="41" t="n">
        <x:f>SUMIFS('16_玩家成长模拟'!$H$12:$H$32,'16_玩家成长模拟'!$A$12:$A$32,B25,'16_玩家成长模拟'!$B$12:$B$32,C25)*'06_炼丹配方'!$U$13*'01_核心假设'!$B$46*MAX(0,(C25-3)/C25)</x:f>
        <x:v>49.32845568000001</x:v>
      </x:c>
      <x:c r="H25" s="41" t="n">
        <x:f>'11_突破成本'!$B$7</x:f>
        <x:v>24100</x:v>
      </x:c>
      <x:c r="I25" s="41" t="n">
        <x:f>'11_突破成本'!$F$7</x:f>
        <x:v>3</x:v>
      </x:c>
      <x:c r="J25" s="41" t="n">
        <x:f>'11_突破成本'!$D$7</x:f>
        <x:v>1</x:v>
      </x:c>
      <x:c r="K25" s="41" t="n">
        <x:f>'11_突破成本'!$P$7</x:f>
        <x:v>3730</x:v>
      </x:c>
      <x:c r="L25" s="88" t="n">
        <x:f>IF(D25&gt;=H25,1,0)</x:f>
        <x:v>1</x:v>
      </x:c>
      <x:c r="M25" s="88" t="n">
        <x:f>IF(AND(F25&gt;=I25,G25&gt;=J25),1,0)</x:f>
        <x:v>1</x:v>
      </x:c>
      <x:c r="N25" s="88" t="n">
        <x:f>IF(E25&gt;=K25*'01_核心假设'!$B$48,1,0)</x:f>
        <x:v>1</x:v>
      </x:c>
      <x:c r="O25" s="91" t="n">
        <x:f>MIN(1,D25/H25,F25/I25,G25/J25,E25/(K25*'01_核心假设'!$B$48))</x:f>
        <x:v>1</x:v>
      </x:c>
      <x:c r="P25" s="44" t="str">
        <x:f>IF(AND(L25=1,M25=1,N25=1),VLOOKUP(D25,'02_境界时间轴'!$A$6:$B$17,2,TRUE),VLOOKUP(MIN(D25,H25-1),'02_境界时间轴'!$A$6:$B$17,2,TRUE))</x:f>
        <x:v>元婴</x:v>
      </x:c>
    </x:row>
    <x:row r="26">
      <x:c r="A26" s="37" t="str">
        <x:f>B26&amp;"|"&amp;C26</x:f>
        <x:v>秘境修士|365</x:v>
      </x:c>
      <x:c r="B26" s="31" t="str">
        <x:v>秘境修士</x:v>
      </x:c>
      <x:c r="C26" s="31" t="n">
        <x:v>365</x:v>
      </x:c>
      <x:c r="D26" s="43" t="n">
        <x:f>SUMIFS('16_玩家成长模拟'!$L$12:$L$32,'16_玩家成长模拟'!$A$12:$A$32,B26,'16_玩家成长模拟'!$B$12:$B$32,C26)</x:f>
        <x:v>1544023.8287306025</x:v>
      </x:c>
      <x:c r="E26" s="43" t="n">
        <x:f>SUMIFS('16_玩家成长模拟'!$AA$12:$AA$32,'16_玩家成长模拟'!$A$12:$A$32,B26,'16_玩家成长模拟'!$B$12:$B$32,C26)</x:f>
        <x:v>12680511.460954532</x:v>
      </x:c>
      <x:c r="F26" s="43" t="n">
        <x:f>VLOOKUP(A26,'18_战力秘境模拟'!$A$6:$R$26,15,FALSE)*'01_核心假设'!$B$57</x:f>
        <x:v>133.24759920710133</x:v>
      </x:c>
      <x:c r="G26" s="43" t="n">
        <x:f>SUMIFS('16_玩家成长模拟'!$H$12:$H$32,'16_玩家成长模拟'!$A$12:$A$32,B26,'16_玩家成长模拟'!$B$12:$B$32,C26)*'06_炼丹配方'!$U$13*'01_核心假设'!$B$46*MAX(0,(C26-3)/C26)</x:f>
        <x:v>100.88644608000004</x:v>
      </x:c>
      <x:c r="H26" s="43" t="n">
        <x:f>'11_突破成本'!$B$7</x:f>
        <x:v>24100</x:v>
      </x:c>
      <x:c r="I26" s="43" t="n">
        <x:f>'11_突破成本'!$F$7</x:f>
        <x:v>3</x:v>
      </x:c>
      <x:c r="J26" s="43" t="n">
        <x:f>'11_突破成本'!$D$7</x:f>
        <x:v>1</x:v>
      </x:c>
      <x:c r="K26" s="43" t="n">
        <x:f>'11_突破成本'!$P$7</x:f>
        <x:v>3730</x:v>
      </x:c>
      <x:c r="L26" s="89" t="n">
        <x:f>IF(D26&gt;=H26,1,0)</x:f>
        <x:v>1</x:v>
      </x:c>
      <x:c r="M26" s="89" t="n">
        <x:f>IF(AND(F26&gt;=I26,G26&gt;=J26),1,0)</x:f>
        <x:v>1</x:v>
      </x:c>
      <x:c r="N26" s="89" t="n">
        <x:f>IF(E26&gt;=K26*'01_核心假设'!$B$48,1,0)</x:f>
        <x:v>1</x:v>
      </x:c>
      <x:c r="O26" s="92" t="n">
        <x:f>MIN(1,D26/H26,F26/I26,G26/J26,E26/(K26*'01_核心假设'!$B$48))</x:f>
        <x:v>1</x:v>
      </x:c>
      <x:c r="P26" s="86" t="str">
        <x:f>IF(AND(L26=1,M26=1,N26=1),VLOOKUP(D26,'02_境界时间轴'!$A$6:$B$17,2,TRUE),VLOOKUP(MIN(D26,H26-1),'02_境界时间轴'!$A$6:$B$17,2,TRUE))</x:f>
        <x:v>化神</x:v>
      </x:c>
    </x:row>
  </x:sheetData>
  <x:mergeCells>
    <x:mergeCell ref="A1:P1"/>
    <x:mergeCell ref="A2:P3"/>
  </x:mergeCells>
  <x:conditionalFormatting sqref="O6:O26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1" hidden="0" customWidth="1"/>
    <x:col min="9" max="9" width="12" hidden="0" customWidth="1"/>
    <x:col min="10" max="10" width="13" hidden="0" customWidth="1"/>
    <x:col min="11" max="11" width="15" hidden="0" customWidth="1"/>
    <x:col min="12" max="12" width="13" hidden="0" customWidth="1"/>
    <x:col min="13" max="13" width="11" hidden="0" customWidth="1"/>
    <x:col min="14" max="14" width="12" hidden="0" customWidth="1"/>
    <x:col min="15" max="15" width="12" hidden="0" customWidth="1"/>
    <x:col min="16" max="16" width="16" hidden="0" customWidth="1"/>
    <x:col min="17" max="17" width="16" hidden="0" customWidth="1"/>
    <x:col min="18" max="18" width="15" hidden="0" customWidth="1"/>
    <x:col min="20" max="20" width="15" hidden="0" customWidth="1"/>
    <x:col min="21" max="21" width="13" hidden="0" customWidth="1"/>
    <x:col min="22" max="22" width="28" hidden="0" customWidth="1"/>
  </x:cols>
  <x:sheetData>
    <x:row r="1" ht="30" customHeight="1">
      <x:c r="A1" s="3" t="str">
        <x:v>装备、淬炼、战力与秘境成功率联动</x:v>
      </x:c>
      <x:c r="B1" s="3" t="str">
        <x:v>装备、淬炼、战力与秘境成功率联动</x:v>
      </x:c>
      <x:c r="C1" s="3" t="str">
        <x:v>装备、淬炼、战力与秘境成功率联动</x:v>
      </x:c>
      <x:c r="D1" s="3" t="str">
        <x:v>装备、淬炼、战力与秘境成功率联动</x:v>
      </x:c>
      <x:c r="E1" s="3" t="str">
        <x:v>装备、淬炼、战力与秘境成功率联动</x:v>
      </x:c>
      <x:c r="F1" s="3" t="str">
        <x:v>装备、淬炼、战力与秘境成功率联动</x:v>
      </x:c>
      <x:c r="G1" s="3" t="str">
        <x:v>装备、淬炼、战力与秘境成功率联动</x:v>
      </x:c>
      <x:c r="H1" s="3" t="str">
        <x:v>装备、淬炼、战力与秘境成功率联动</x:v>
      </x:c>
      <x:c r="I1" s="3" t="str">
        <x:v>装备、淬炼、战力与秘境成功率联动</x:v>
      </x:c>
      <x:c r="J1" s="3" t="str">
        <x:v>装备、淬炼、战力与秘境成功率联动</x:v>
      </x:c>
      <x:c r="K1" s="3" t="str">
        <x:v>装备、淬炼、战力与秘境成功率联动</x:v>
      </x:c>
      <x:c r="L1" s="3" t="str">
        <x:v>装备、淬炼、战力与秘境成功率联动</x:v>
      </x:c>
      <x:c r="M1" s="3" t="str">
        <x:v>装备、淬炼、战力与秘境成功率联动</x:v>
      </x:c>
      <x:c r="N1" s="3" t="str">
        <x:v>装备、淬炼、战力与秘境成功率联动</x:v>
      </x:c>
      <x:c r="O1" s="3" t="str">
        <x:v>装备、淬炼、战力与秘境成功率联动</x:v>
      </x:c>
      <x:c r="P1" s="3" t="str">
        <x:v>装备、淬炼、战力与秘境成功率联动</x:v>
      </x:c>
      <x:c r="Q1" s="3" t="str">
        <x:v>装备、淬炼、战力与秘境成功率联动</x:v>
      </x:c>
      <x:c r="R1" s="3" t="str">
        <x:v>装备、淬炼、战力与秘境成功率联动</x:v>
      </x:c>
    </x:row>
    <x:row r="2">
      <x:c r="A2" s="7" t="str">
        <x:v>秘境成功率由装备内部战力、淬炼倍率、玩家战斗专精和推荐战力共同计算；在线挑战价值因此与挂机装备成长闭环。</x:v>
      </x:c>
      <x:c r="B2" s="7" t="str">
        <x:v>秘境成功率由装备内部战力、淬炼倍率、玩家战斗专精和推荐战力共同计算；在线挑战价值因此与挂机装备成长闭环。</x:v>
      </x:c>
      <x:c r="C2" s="7" t="str">
        <x:v>秘境成功率由装备内部战力、淬炼倍率、玩家战斗专精和推荐战力共同计算；在线挑战价值因此与挂机装备成长闭环。</x:v>
      </x:c>
      <x:c r="D2" s="7" t="str">
        <x:v>秘境成功率由装备内部战力、淬炼倍率、玩家战斗专精和推荐战力共同计算；在线挑战价值因此与挂机装备成长闭环。</x:v>
      </x:c>
      <x:c r="E2" s="7" t="str">
        <x:v>秘境成功率由装备内部战力、淬炼倍率、玩家战斗专精和推荐战力共同计算；在线挑战价值因此与挂机装备成长闭环。</x:v>
      </x:c>
      <x:c r="F2" s="7" t="str">
        <x:v>秘境成功率由装备内部战力、淬炼倍率、玩家战斗专精和推荐战力共同计算；在线挑战价值因此与挂机装备成长闭环。</x:v>
      </x:c>
      <x:c r="G2" s="7" t="str">
        <x:v>秘境成功率由装备内部战力、淬炼倍率、玩家战斗专精和推荐战力共同计算；在线挑战价值因此与挂机装备成长闭环。</x:v>
      </x:c>
      <x:c r="H2" s="7" t="str">
        <x:v>秘境成功率由装备内部战力、淬炼倍率、玩家战斗专精和推荐战力共同计算；在线挑战价值因此与挂机装备成长闭环。</x:v>
      </x:c>
      <x:c r="I2" s="7" t="str">
        <x:v>秘境成功率由装备内部战力、淬炼倍率、玩家战斗专精和推荐战力共同计算；在线挑战价值因此与挂机装备成长闭环。</x:v>
      </x:c>
      <x:c r="J2" s="7" t="str">
        <x:v>秘境成功率由装备内部战力、淬炼倍率、玩家战斗专精和推荐战力共同计算；在线挑战价值因此与挂机装备成长闭环。</x:v>
      </x:c>
      <x:c r="K2" s="7" t="str">
        <x:v>秘境成功率由装备内部战力、淬炼倍率、玩家战斗专精和推荐战力共同计算；在线挑战价值因此与挂机装备成长闭环。</x:v>
      </x:c>
      <x:c r="L2" s="7" t="str">
        <x:v>秘境成功率由装备内部战力、淬炼倍率、玩家战斗专精和推荐战力共同计算；在线挑战价值因此与挂机装备成长闭环。</x:v>
      </x:c>
      <x:c r="M2" s="7" t="str">
        <x:v>秘境成功率由装备内部战力、淬炼倍率、玩家战斗专精和推荐战力共同计算；在线挑战价值因此与挂机装备成长闭环。</x:v>
      </x:c>
      <x:c r="N2" s="7" t="str">
        <x:v>秘境成功率由装备内部战力、淬炼倍率、玩家战斗专精和推荐战力共同计算；在线挑战价值因此与挂机装备成长闭环。</x:v>
      </x:c>
      <x:c r="O2" s="7" t="str">
        <x:v>秘境成功率由装备内部战力、淬炼倍率、玩家战斗专精和推荐战力共同计算；在线挑战价值因此与挂机装备成长闭环。</x:v>
      </x:c>
      <x:c r="P2" s="7" t="str">
        <x:v>秘境成功率由装备内部战力、淬炼倍率、玩家战斗专精和推荐战力共同计算；在线挑战价值因此与挂机装备成长闭环。</x:v>
      </x:c>
      <x:c r="Q2" s="7" t="str">
        <x:v>秘境成功率由装备内部战力、淬炼倍率、玩家战斗专精和推荐战力共同计算；在线挑战价值因此与挂机装备成长闭环。</x:v>
      </x:c>
      <x:c r="R2" s="7" t="str">
        <x:v>秘境成功率由装备内部战力、淬炼倍率、玩家战斗专精和推荐战力共同计算；在线挑战价值因此与挂机装备成长闭环。</x:v>
      </x:c>
    </x:row>
    <x:row r="3">
      <x:c r="A3" s="7" t="str">
        <x:v>秘境成功率由装备内部战力、淬炼倍率、玩家战斗专精和推荐战力共同计算；在线挑战价值因此与挂机装备成长闭环。</x:v>
      </x:c>
      <x:c r="B3" s="7" t="str">
        <x:v>秘境成功率由装备内部战力、淬炼倍率、玩家战斗专精和推荐战力共同计算；在线挑战价值因此与挂机装备成长闭环。</x:v>
      </x:c>
      <x:c r="C3" s="7" t="str">
        <x:v>秘境成功率由装备内部战力、淬炼倍率、玩家战斗专精和推荐战力共同计算；在线挑战价值因此与挂机装备成长闭环。</x:v>
      </x:c>
      <x:c r="D3" s="7" t="str">
        <x:v>秘境成功率由装备内部战力、淬炼倍率、玩家战斗专精和推荐战力共同计算；在线挑战价值因此与挂机装备成长闭环。</x:v>
      </x:c>
      <x:c r="E3" s="7" t="str">
        <x:v>秘境成功率由装备内部战力、淬炼倍率、玩家战斗专精和推荐战力共同计算；在线挑战价值因此与挂机装备成长闭环。</x:v>
      </x:c>
      <x:c r="F3" s="7" t="str">
        <x:v>秘境成功率由装备内部战力、淬炼倍率、玩家战斗专精和推荐战力共同计算；在线挑战价值因此与挂机装备成长闭环。</x:v>
      </x:c>
      <x:c r="G3" s="7" t="str">
        <x:v>秘境成功率由装备内部战力、淬炼倍率、玩家战斗专精和推荐战力共同计算；在线挑战价值因此与挂机装备成长闭环。</x:v>
      </x:c>
      <x:c r="H3" s="7" t="str">
        <x:v>秘境成功率由装备内部战力、淬炼倍率、玩家战斗专精和推荐战力共同计算；在线挑战价值因此与挂机装备成长闭环。</x:v>
      </x:c>
      <x:c r="I3" s="7" t="str">
        <x:v>秘境成功率由装备内部战力、淬炼倍率、玩家战斗专精和推荐战力共同计算；在线挑战价值因此与挂机装备成长闭环。</x:v>
      </x:c>
      <x:c r="J3" s="7" t="str">
        <x:v>秘境成功率由装备内部战力、淬炼倍率、玩家战斗专精和推荐战力共同计算；在线挑战价值因此与挂机装备成长闭环。</x:v>
      </x:c>
      <x:c r="K3" s="7" t="str">
        <x:v>秘境成功率由装备内部战力、淬炼倍率、玩家战斗专精和推荐战力共同计算；在线挑战价值因此与挂机装备成长闭环。</x:v>
      </x:c>
      <x:c r="L3" s="7" t="str">
        <x:v>秘境成功率由装备内部战力、淬炼倍率、玩家战斗专精和推荐战力共同计算；在线挑战价值因此与挂机装备成长闭环。</x:v>
      </x:c>
      <x:c r="M3" s="7" t="str">
        <x:v>秘境成功率由装备内部战力、淬炼倍率、玩家战斗专精和推荐战力共同计算；在线挑战价值因此与挂机装备成长闭环。</x:v>
      </x:c>
      <x:c r="N3" s="7" t="str">
        <x:v>秘境成功率由装备内部战力、淬炼倍率、玩家战斗专精和推荐战力共同计算；在线挑战价值因此与挂机装备成长闭环。</x:v>
      </x:c>
      <x:c r="O3" s="7" t="str">
        <x:v>秘境成功率由装备内部战力、淬炼倍率、玩家战斗专精和推荐战力共同计算；在线挑战价值因此与挂机装备成长闭环。</x:v>
      </x:c>
      <x:c r="P3" s="7" t="str">
        <x:v>秘境成功率由装备内部战力、淬炼倍率、玩家战斗专精和推荐战力共同计算；在线挑战价值因此与挂机装备成长闭环。</x:v>
      </x:c>
      <x:c r="Q3" s="7" t="str">
        <x:v>秘境成功率由装备内部战力、淬炼倍率、玩家战斗专精和推荐战力共同计算；在线挑战价值因此与挂机装备成长闭环。</x:v>
      </x:c>
      <x:c r="R3" s="7" t="str">
        <x:v>秘境成功率由装备内部战力、淬炼倍率、玩家战斗专精和推荐战力共同计算；在线挑战价值因此与挂机装备成长闭环。</x:v>
      </x:c>
    </x:row>
    <x:row r="5" ht="28" customHeight="1">
      <x:c r="A5" s="19" t="str">
        <x:v>键</x:v>
      </x:c>
      <x:c r="B5" s="20" t="str">
        <x:v>玩家画像</x:v>
      </x:c>
      <x:c r="C5" s="20" t="str">
        <x:v>天数</x:v>
      </x:c>
      <x:c r="D5" s="20" t="str">
        <x:v>武器</x:v>
      </x:c>
      <x:c r="E5" s="20" t="str">
        <x:v>防具</x:v>
      </x:c>
      <x:c r="F5" s="20" t="str">
        <x:v>饰品</x:v>
      </x:c>
      <x:c r="G5" s="20" t="str">
        <x:v>基础装备战力</x:v>
      </x:c>
      <x:c r="H5" s="20" t="str">
        <x:v>目标淬炼</x:v>
      </x:c>
      <x:c r="I5" s="20" t="str">
        <x:v>淬炼倍率</x:v>
      </x:c>
      <x:c r="J5" s="20" t="str">
        <x:v>最终战力</x:v>
      </x:c>
      <x:c r="K5" s="20" t="str">
        <x:v>选择秘境</x:v>
      </x:c>
      <x:c r="L5" s="20" t="str">
        <x:v>推荐战力</x:v>
      </x:c>
      <x:c r="M5" s="20" t="str">
        <x:v>成功率</x:v>
      </x:c>
      <x:c r="N5" s="20" t="str">
        <x:v>累计进入</x:v>
      </x:c>
      <x:c r="O5" s="20" t="str">
        <x:v>累计成功</x:v>
      </x:c>
      <x:c r="P5" s="20" t="str">
        <x:v>战略价值/成功</x:v>
      </x:c>
      <x:c r="Q5" s="20" t="str">
        <x:v>累计主动价值</x:v>
      </x:c>
      <x:c r="R5" s="21" t="str">
        <x:v>期望装备掉落</x:v>
      </x:c>
      <x:c r="T5" s="19" t="str">
        <x:v>秘境</x:v>
      </x:c>
      <x:c r="U5" s="20" t="str">
        <x:v>推荐战力</x:v>
      </x:c>
      <x:c r="V5" s="21" t="str">
        <x:v>定位</x:v>
      </x:c>
    </x:row>
    <x:row r="6">
      <x:c r="A6" s="35" t="str">
        <x:f>B6&amp;"|"&amp;C6</x:f>
        <x:v>均衡散修|1</x:v>
      </x:c>
      <x:c r="B6" s="29" t="str">
        <x:v>均衡散修</x:v>
      </x:c>
      <x:c r="C6" s="29" t="n">
        <x:v>1</x:v>
      </x:c>
      <x:c r="D6" s="35" t="str">
        <x:f>IF(C6&lt;=1,"粗制剑",IF(C6&lt;=10,"玄铁剑",IF(C6&lt;=30,"灵玉剑",IF(C6&lt;=90,"筑基飞剑","黑风剑"))))</x:f>
        <x:v>粗制剑</x:v>
      </x:c>
      <x:c r="E6" s="35" t="str">
        <x:f>IF(C6&lt;=1,"布衣",IF(C6&lt;=10,"玄铁甲",IF(C6&lt;=30,"灵玉法袍","筑基战甲")))</x:f>
        <x:v>布衣</x:v>
      </x:c>
      <x:c r="F6" s="35" t="str">
        <x:f>IF(C6&lt;=1,"",IF(C6&lt;=10,"青玉佩",IF(C6&lt;=30,"玄灵戒","筑基护符")))</x:f>
      </x:c>
      <x:c r="G6" s="45" t="n">
        <x:f>IF(D6="",0,IFERROR(VLOOKUP(D6,'09_装备梯度'!$A$6:$N$30,12,FALSE),0))+IF(E6="",0,IFERROR(VLOOKUP(E6,'09_装备梯度'!$A$6:$N$30,12,FALSE),0))+IF(F6="",0,IFERROR(VLOOKUP(F6,'09_装备梯度'!$A$6:$N$30,12,FALSE),0))</x:f>
        <x:v>71</x:v>
      </x:c>
      <x:c r="H6" s="35" t="n">
        <x:f>IF(C6&lt;=1,0,IF(C6&lt;=10,2,IF(C6&lt;=30,4,IF(C6&lt;=90,6,IF(C6&lt;=180,8,10)))))</x:f>
        <x:v>0</x:v>
      </x:c>
      <x:c r="I6" s="67" t="n">
        <x:f>IF(H6=0,1,INDEX('13_淬炼成本'!$O$6:$O$15,H6))</x:f>
        <x:v>1</x:v>
      </x:c>
      <x:c r="J6" s="45" t="n">
        <x:f>G6*I6*VLOOKUP(B6,'16_玩家成长模拟'!$A$6:$K$8,11,FALSE)</x:f>
        <x:v>71</x:v>
      </x:c>
      <x:c r="K6" s="45" t="str">
        <x:f>IF(C6&lt;=1,"青蛇洞",IF(C6&lt;=10,"玄铁秘窟",IF(C6&lt;=30,"黑风秘境","古修洞府")))</x:f>
        <x:v>青蛇洞</x:v>
      </x:c>
      <x:c r="L6" s="45" t="n">
        <x:f>VLOOKUP(K6,$T$6:$U$9,2,FALSE)</x:f>
        <x:v>80</x:v>
      </x:c>
      <x:c r="M6" s="90" t="n">
        <x:f>MIN('01_核心假设'!$B$50,MAX('01_核心假设'!$B$51,VLOOKUP(K6,'10_怪物秘境'!$A$18:$G$21,7,FALSE)*POWER(J6/L6,'01_核心假设'!$B$49)))</x:f>
        <x:v>0.8478649656637548</x:v>
      </x:c>
      <x:c r="N6" s="39" t="n">
        <x:f>C6*'01_核心假设'!$B$7/'01_核心假设'!$B$24*VLOOKUP(B6,'16_玩家成长模拟'!$A$6:$G$8,7,FALSE)</x:f>
        <x:v>1.6</x:v>
      </x:c>
      <x:c r="O6" s="39" t="n">
        <x:f>N6*M6</x:f>
        <x:v>1.3565839450620079</x:v>
      </x:c>
      <x:c r="P6" s="39" t="n">
        <x:f>VLOOKUP(K6,'10_怪物秘境'!$A$18:$R$21,16,FALSE)*'01_核心假设'!$B$52</x:f>
        <x:v>4919.400000000001</x:v>
      </x:c>
      <x:c r="Q6" s="39" t="n">
        <x:f>O6*P6</x:f>
        <x:v>6673.5790593380425</x:v>
      </x:c>
      <x:c r="R6" s="39" t="n">
        <x:f>O6*VLOOKUP(K6,'10_怪物秘境'!$A$18:$M$21,13,FALSE)</x:f>
        <x:v>0.0678291972531004</x:v>
      </x:c>
      <x:c r="T6" s="29" t="str">
        <x:v>青蛇洞</x:v>
      </x:c>
      <x:c r="U6" s="29" t="n">
        <x:v>80</x:v>
      </x:c>
      <x:c r="V6" s="29" t="str">
        <x:v>第一次在线秘境</x:v>
      </x:c>
    </x:row>
    <x:row r="7">
      <x:c r="A7" s="36" t="str">
        <x:f>B7&amp;"|"&amp;C7</x:f>
        <x:v>均衡散修|7</x:v>
      </x:c>
      <x:c r="B7" s="30" t="str">
        <x:v>均衡散修</x:v>
      </x:c>
      <x:c r="C7" s="30" t="n">
        <x:v>7</x:v>
      </x:c>
      <x:c r="D7" s="36" t="str">
        <x:f>IF(C7&lt;=1,"粗制剑",IF(C7&lt;=10,"玄铁剑",IF(C7&lt;=30,"灵玉剑",IF(C7&lt;=90,"筑基飞剑","黑风剑"))))</x:f>
        <x:v>玄铁剑</x:v>
      </x:c>
      <x:c r="E7" s="36" t="str">
        <x:f>IF(C7&lt;=1,"布衣",IF(C7&lt;=10,"玄铁甲",IF(C7&lt;=30,"灵玉法袍","筑基战甲")))</x:f>
        <x:v>玄铁甲</x:v>
      </x:c>
      <x:c r="F7" s="36" t="str">
        <x:f>IF(C7&lt;=1,"",IF(C7&lt;=10,"青玉佩",IF(C7&lt;=30,"玄灵戒","筑基护符")))</x:f>
        <x:v>青玉佩</x:v>
      </x:c>
      <x:c r="G7" s="46" t="n">
        <x:f>IF(D7="",0,IFERROR(VLOOKUP(D7,'09_装备梯度'!$A$6:$N$30,12,FALSE),0))+IF(E7="",0,IFERROR(VLOOKUP(E7,'09_装备梯度'!$A$6:$N$30,12,FALSE),0))+IF(F7="",0,IFERROR(VLOOKUP(F7,'09_装备梯度'!$A$6:$N$30,12,FALSE),0))</x:f>
        <x:v>366</x:v>
      </x:c>
      <x:c r="H7" s="36" t="n">
        <x:f>IF(C7&lt;=1,0,IF(C7&lt;=10,2,IF(C7&lt;=30,4,IF(C7&lt;=90,6,IF(C7&lt;=180,8,10)))))</x:f>
        <x:v>2</x:v>
      </x:c>
      <x:c r="I7" s="68" t="n">
        <x:f>IF(H7=0,1,INDEX('13_淬炼成本'!$O$6:$O$15,H7))</x:f>
        <x:v>1.0868</x:v>
      </x:c>
      <x:c r="J7" s="46" t="n">
        <x:f>G7*I7*VLOOKUP(B7,'16_玩家成长模拟'!$A$6:$K$8,11,FALSE)</x:f>
        <x:v>397.7688</x:v>
      </x:c>
      <x:c r="K7" s="46" t="str">
        <x:f>IF(C7&lt;=1,"青蛇洞",IF(C7&lt;=10,"玄铁秘窟",IF(C7&lt;=30,"黑风秘境","古修洞府")))</x:f>
        <x:v>玄铁秘窟</x:v>
      </x:c>
      <x:c r="L7" s="46" t="n">
        <x:f>VLOOKUP(K7,$T$6:$U$9,2,FALSE)</x:f>
        <x:v>450</x:v>
      </x:c>
      <x:c r="M7" s="91" t="n">
        <x:f>MIN('01_核心假设'!$B$50,MAX('01_核心假设'!$B$51,VLOOKUP(K7,'10_怪物秘境'!$A$18:$G$21,7,FALSE)*POWER(J7/L7,'01_核心假设'!$B$49)))</x:f>
        <x:v>0.733337178656585</x:v>
      </x:c>
      <x:c r="N7" s="41" t="n">
        <x:f>C7*'01_核心假设'!$B$7/'01_核心假设'!$B$24*VLOOKUP(B7,'16_玩家成长模拟'!$A$6:$G$8,7,FALSE)</x:f>
        <x:v>11.200000000000001</x:v>
      </x:c>
      <x:c r="O7" s="41" t="n">
        <x:f>N7*M7</x:f>
        <x:v>8.213376400953752</x:v>
      </x:c>
      <x:c r="P7" s="41" t="n">
        <x:f>VLOOKUP(K7,'10_怪物秘境'!$A$18:$R$21,16,FALSE)*'01_核心假设'!$B$52</x:f>
        <x:v>4767.360000000001</x:v>
      </x:c>
      <x:c r="Q7" s="41" t="n">
        <x:f>O7*P7</x:f>
        <x:v>39156.122118850886</x:v>
      </x:c>
      <x:c r="R7" s="41" t="n">
        <x:f>O7*VLOOKUP(K7,'10_怪物秘境'!$A$18:$M$21,13,FALSE)</x:f>
        <x:v>0.4928025840572251</x:v>
      </x:c>
      <x:c r="T7" s="30" t="str">
        <x:v>玄铁秘窟</x:v>
      </x:c>
      <x:c r="U7" s="30" t="n">
        <x:v>450</x:v>
      </x:c>
      <x:c r="V7" s="30" t="str">
        <x:v>炼气后期配置检查</x:v>
      </x:c>
    </x:row>
    <x:row r="8">
      <x:c r="A8" s="36" t="str">
        <x:f>B8&amp;"|"&amp;C8</x:f>
        <x:v>均衡散修|10</x:v>
      </x:c>
      <x:c r="B8" s="30" t="str">
        <x:v>均衡散修</x:v>
      </x:c>
      <x:c r="C8" s="30" t="n">
        <x:v>10</x:v>
      </x:c>
      <x:c r="D8" s="36" t="str">
        <x:f>IF(C8&lt;=1,"粗制剑",IF(C8&lt;=10,"玄铁剑",IF(C8&lt;=30,"灵玉剑",IF(C8&lt;=90,"筑基飞剑","黑风剑"))))</x:f>
        <x:v>玄铁剑</x:v>
      </x:c>
      <x:c r="E8" s="36" t="str">
        <x:f>IF(C8&lt;=1,"布衣",IF(C8&lt;=10,"玄铁甲",IF(C8&lt;=30,"灵玉法袍","筑基战甲")))</x:f>
        <x:v>玄铁甲</x:v>
      </x:c>
      <x:c r="F8" s="36" t="str">
        <x:f>IF(C8&lt;=1,"",IF(C8&lt;=10,"青玉佩",IF(C8&lt;=30,"玄灵戒","筑基护符")))</x:f>
        <x:v>青玉佩</x:v>
      </x:c>
      <x:c r="G8" s="46" t="n">
        <x:f>IF(D8="",0,IFERROR(VLOOKUP(D8,'09_装备梯度'!$A$6:$N$30,12,FALSE),0))+IF(E8="",0,IFERROR(VLOOKUP(E8,'09_装备梯度'!$A$6:$N$30,12,FALSE),0))+IF(F8="",0,IFERROR(VLOOKUP(F8,'09_装备梯度'!$A$6:$N$30,12,FALSE),0))</x:f>
        <x:v>366</x:v>
      </x:c>
      <x:c r="H8" s="36" t="n">
        <x:f>IF(C8&lt;=1,0,IF(C8&lt;=10,2,IF(C8&lt;=30,4,IF(C8&lt;=90,6,IF(C8&lt;=180,8,10)))))</x:f>
        <x:v>2</x:v>
      </x:c>
      <x:c r="I8" s="68" t="n">
        <x:f>IF(H8=0,1,INDEX('13_淬炼成本'!$O$6:$O$15,H8))</x:f>
        <x:v>1.0868</x:v>
      </x:c>
      <x:c r="J8" s="46" t="n">
        <x:f>G8*I8*VLOOKUP(B8,'16_玩家成长模拟'!$A$6:$K$8,11,FALSE)</x:f>
        <x:v>397.7688</x:v>
      </x:c>
      <x:c r="K8" s="46" t="str">
        <x:f>IF(C8&lt;=1,"青蛇洞",IF(C8&lt;=10,"玄铁秘窟",IF(C8&lt;=30,"黑风秘境","古修洞府")))</x:f>
        <x:v>玄铁秘窟</x:v>
      </x:c>
      <x:c r="L8" s="46" t="n">
        <x:f>VLOOKUP(K8,$T$6:$U$9,2,FALSE)</x:f>
        <x:v>450</x:v>
      </x:c>
      <x:c r="M8" s="91" t="n">
        <x:f>MIN('01_核心假设'!$B$50,MAX('01_核心假设'!$B$51,VLOOKUP(K8,'10_怪物秘境'!$A$18:$G$21,7,FALSE)*POWER(J8/L8,'01_核心假设'!$B$49)))</x:f>
        <x:v>0.733337178656585</x:v>
      </x:c>
      <x:c r="N8" s="41" t="n">
        <x:f>C8*'01_核心假设'!$B$7/'01_核心假设'!$B$24*VLOOKUP(B8,'16_玩家成长模拟'!$A$6:$G$8,7,FALSE)</x:f>
        <x:v>16</x:v>
      </x:c>
      <x:c r="O8" s="41" t="n">
        <x:f>N8*M8</x:f>
        <x:v>11.73339485850536</x:v>
      </x:c>
      <x:c r="P8" s="41" t="n">
        <x:f>VLOOKUP(K8,'10_怪物秘境'!$A$18:$R$21,16,FALSE)*'01_核心假设'!$B$52</x:f>
        <x:v>4767.360000000001</x:v>
      </x:c>
      <x:c r="Q8" s="41" t="n">
        <x:f>O8*P8</x:f>
        <x:v>55937.31731264412</x:v>
      </x:c>
      <x:c r="R8" s="41" t="n">
        <x:f>O8*VLOOKUP(K8,'10_怪物秘境'!$A$18:$M$21,13,FALSE)</x:f>
        <x:v>0.7040036915103216</x:v>
      </x:c>
      <x:c r="T8" s="30" t="str">
        <x:v>黑风秘境</x:v>
      </x:c>
      <x:c r="U8" s="30" t="n">
        <x:v>700</x:v>
      </x:c>
      <x:c r="V8" s="30" t="str">
        <x:v>筑基正式秘境</x:v>
      </x:c>
    </x:row>
    <x:row r="9">
      <x:c r="A9" s="36" t="str">
        <x:f>B9&amp;"|"&amp;C9</x:f>
        <x:v>均衡散修|30</x:v>
      </x:c>
      <x:c r="B9" s="30" t="str">
        <x:v>均衡散修</x:v>
      </x:c>
      <x:c r="C9" s="30" t="n">
        <x:v>30</x:v>
      </x:c>
      <x:c r="D9" s="36" t="str">
        <x:f>IF(C9&lt;=1,"粗制剑",IF(C9&lt;=10,"玄铁剑",IF(C9&lt;=30,"灵玉剑",IF(C9&lt;=90,"筑基飞剑","黑风剑"))))</x:f>
        <x:v>灵玉剑</x:v>
      </x:c>
      <x:c r="E9" s="36" t="str">
        <x:f>IF(C9&lt;=1,"布衣",IF(C9&lt;=10,"玄铁甲",IF(C9&lt;=30,"灵玉法袍","筑基战甲")))</x:f>
        <x:v>灵玉法袍</x:v>
      </x:c>
      <x:c r="F9" s="36" t="str">
        <x:f>IF(C9&lt;=1,"",IF(C9&lt;=10,"青玉佩",IF(C9&lt;=30,"玄灵戒","筑基护符")))</x:f>
        <x:v>玄灵戒</x:v>
      </x:c>
      <x:c r="G9" s="46" t="n">
        <x:f>IF(D9="",0,IFERROR(VLOOKUP(D9,'09_装备梯度'!$A$6:$N$30,12,FALSE),0))+IF(E9="",0,IFERROR(VLOOKUP(E9,'09_装备梯度'!$A$6:$N$30,12,FALSE),0))+IF(F9="",0,IFERROR(VLOOKUP(F9,'09_装备梯度'!$A$6:$N$30,12,FALSE),0))</x:f>
        <x:v>616</x:v>
      </x:c>
      <x:c r="H9" s="36" t="n">
        <x:f>IF(C9&lt;=1,0,IF(C9&lt;=10,2,IF(C9&lt;=30,4,IF(C9&lt;=90,6,IF(C9&lt;=180,8,10)))))</x:f>
        <x:v>4</x:v>
      </x:c>
      <x:c r="I9" s="68" t="n">
        <x:f>IF(H9=0,1,INDEX('13_淬炼成本'!$O$6:$O$15,H9))</x:f>
        <x:v>1.2039027</x:v>
      </x:c>
      <x:c r="J9" s="46" t="n">
        <x:f>G9*I9*VLOOKUP(B9,'16_玩家成长模拟'!$A$6:$K$8,11,FALSE)</x:f>
        <x:v>741.6040632</x:v>
      </x:c>
      <x:c r="K9" s="46" t="str">
        <x:f>IF(C9&lt;=1,"青蛇洞",IF(C9&lt;=10,"玄铁秘窟",IF(C9&lt;=30,"黑风秘境","古修洞府")))</x:f>
        <x:v>黑风秘境</x:v>
      </x:c>
      <x:c r="L9" s="46" t="n">
        <x:f>VLOOKUP(K9,$T$6:$U$9,2,FALSE)</x:f>
        <x:v>700</x:v>
      </x:c>
      <x:c r="M9" s="91" t="n">
        <x:f>MIN('01_核心假设'!$B$50,MAX('01_核心假设'!$B$51,VLOOKUP(K9,'10_怪物秘境'!$A$18:$G$21,7,FALSE)*POWER(J9/L9,'01_核心假设'!$B$49)))</x:f>
        <x:v>0.6690373859957305</x:v>
      </x:c>
      <x:c r="N9" s="41" t="n">
        <x:f>C9*'01_核心假设'!$B$7/'01_核心假设'!$B$24*VLOOKUP(B9,'16_玩家成长模拟'!$A$6:$G$8,7,FALSE)</x:f>
        <x:v>48</x:v>
      </x:c>
      <x:c r="O9" s="41" t="n">
        <x:f>N9*M9</x:f>
        <x:v>32.113794527795065</x:v>
      </x:c>
      <x:c r="P9" s="41" t="n">
        <x:f>VLOOKUP(K9,'10_怪物秘境'!$A$18:$R$21,16,FALSE)*'01_核心假设'!$B$52</x:f>
        <x:v>7839</x:v>
      </x:c>
      <x:c r="Q9" s="41" t="n">
        <x:f>O9*P9</x:f>
        <x:v>251740.03530338552</x:v>
      </x:c>
      <x:c r="R9" s="41" t="n">
        <x:f>O9*VLOOKUP(K9,'10_怪物秘境'!$A$18:$M$21,13,FALSE)</x:f>
        <x:v>1.1239828084728274</x:v>
      </x:c>
      <x:c r="T9" s="31" t="str">
        <x:v>古修洞府</x:v>
      </x:c>
      <x:c r="U9" s="31" t="n">
        <x:v>1300</x:v>
      </x:c>
      <x:c r="V9" s="31" t="str">
        <x:v>金丹扩展锚点</x:v>
      </x:c>
    </x:row>
    <x:row r="10">
      <x:c r="A10" s="36" t="str">
        <x:f>B10&amp;"|"&amp;C10</x:f>
        <x:v>均衡散修|90</x:v>
      </x:c>
      <x:c r="B10" s="30" t="str">
        <x:v>均衡散修</x:v>
      </x:c>
      <x:c r="C10" s="30" t="n">
        <x:v>90</x:v>
      </x:c>
      <x:c r="D10" s="36" t="str">
        <x:f>IF(C10&lt;=1,"粗制剑",IF(C10&lt;=10,"玄铁剑",IF(C10&lt;=30,"灵玉剑",IF(C10&lt;=90,"筑基飞剑","黑风剑"))))</x:f>
        <x:v>筑基飞剑</x:v>
      </x:c>
      <x:c r="E10" s="36" t="str">
        <x:f>IF(C10&lt;=1,"布衣",IF(C10&lt;=10,"玄铁甲",IF(C10&lt;=30,"灵玉法袍","筑基战甲")))</x:f>
        <x:v>筑基战甲</x:v>
      </x:c>
      <x:c r="F10" s="36" t="str">
        <x:f>IF(C10&lt;=1,"",IF(C10&lt;=10,"青玉佩",IF(C10&lt;=30,"玄灵戒","筑基护符")))</x:f>
        <x:v>筑基护符</x:v>
      </x:c>
      <x:c r="G10" s="46" t="n">
        <x:f>IF(D10="",0,IFERROR(VLOOKUP(D10,'09_装备梯度'!$A$6:$N$30,12,FALSE),0))+IF(E10="",0,IFERROR(VLOOKUP(E10,'09_装备梯度'!$A$6:$N$30,12,FALSE),0))+IF(F10="",0,IFERROR(VLOOKUP(F10,'09_装备梯度'!$A$6:$N$30,12,FALSE),0))</x:f>
        <x:v>821</x:v>
      </x:c>
      <x:c r="H10" s="36" t="n">
        <x:f>IF(C10&lt;=1,0,IF(C10&lt;=10,2,IF(C10&lt;=30,4,IF(C10&lt;=90,6,IF(C10&lt;=180,8,10)))))</x:f>
        <x:v>6</x:v>
      </x:c>
      <x:c r="I10" s="68" t="n">
        <x:f>IF(H10=0,1,INDEX('13_淬炼成本'!$O$6:$O$15,H10))</x:f>
        <x:v>1.35908575803</x:v>
      </x:c>
      <x:c r="J10" s="46" t="n">
        <x:f>G10*I10*VLOOKUP(B10,'16_玩家成长模拟'!$A$6:$K$8,11,FALSE)</x:f>
        <x:v>1115.80940734263</x:v>
      </x:c>
      <x:c r="K10" s="46" t="str">
        <x:f>IF(C10&lt;=1,"青蛇洞",IF(C10&lt;=10,"玄铁秘窟",IF(C10&lt;=30,"黑风秘境","古修洞府")))</x:f>
        <x:v>古修洞府</x:v>
      </x:c>
      <x:c r="L10" s="46" t="n">
        <x:f>VLOOKUP(K10,$T$6:$U$9,2,FALSE)</x:f>
        <x:v>1300</x:v>
      </x:c>
      <x:c r="M10" s="91" t="n">
        <x:f>MIN('01_核心假设'!$B$50,MAX('01_核心假设'!$B$51,VLOOKUP(K10,'10_怪物秘境'!$A$18:$G$21,7,FALSE)*POWER(J10/L10,'01_核心假设'!$B$49)))</x:f>
        <x:v>0.5095490809915595</x:v>
      </x:c>
      <x:c r="N10" s="41" t="n">
        <x:f>C10*'01_核心假设'!$B$7/'01_核心假设'!$B$24*VLOOKUP(B10,'16_玩家成长模拟'!$A$6:$G$8,7,FALSE)</x:f>
        <x:v>144</x:v>
      </x:c>
      <x:c r="O10" s="41" t="n">
        <x:f>N10*M10</x:f>
        <x:v>73.37506766278457</x:v>
      </x:c>
      <x:c r="P10" s="41" t="n">
        <x:f>VLOOKUP(K10,'10_怪物秘境'!$A$18:$R$21,16,FALSE)*'01_核心假设'!$B$52</x:f>
        <x:v>6479.000000000001</x:v>
      </x:c>
      <x:c r="Q10" s="41" t="n">
        <x:f>O10*P10</x:f>
        <x:v>475397.0633871813</x:v>
      </x:c>
      <x:c r="R10" s="41" t="n">
        <x:f>O10*VLOOKUP(K10,'10_怪物秘境'!$A$18:$M$21,13,FALSE)</x:f>
        <x:v>4.402504059767074</x:v>
      </x:c>
    </x:row>
    <x:row r="11">
      <x:c r="A11" s="36" t="str">
        <x:f>B11&amp;"|"&amp;C11</x:f>
        <x:v>均衡散修|180</x:v>
      </x:c>
      <x:c r="B11" s="30" t="str">
        <x:v>均衡散修</x:v>
      </x:c>
      <x:c r="C11" s="30" t="n">
        <x:v>180</x:v>
      </x:c>
      <x:c r="D11" s="36" t="str">
        <x:f>IF(C11&lt;=1,"粗制剑",IF(C11&lt;=10,"玄铁剑",IF(C11&lt;=30,"灵玉剑",IF(C11&lt;=90,"筑基飞剑","黑风剑"))))</x:f>
        <x:v>黑风剑</x:v>
      </x:c>
      <x:c r="E11" s="36" t="str">
        <x:f>IF(C11&lt;=1,"布衣",IF(C11&lt;=10,"玄铁甲",IF(C11&lt;=30,"灵玉法袍","筑基战甲")))</x:f>
        <x:v>筑基战甲</x:v>
      </x:c>
      <x:c r="F11" s="36" t="str">
        <x:f>IF(C11&lt;=1,"",IF(C11&lt;=10,"青玉佩",IF(C11&lt;=30,"玄灵戒","筑基护符")))</x:f>
        <x:v>筑基护符</x:v>
      </x:c>
      <x:c r="G11" s="46" t="n">
        <x:f>IF(D11="",0,IFERROR(VLOOKUP(D11,'09_装备梯度'!$A$6:$N$30,12,FALSE),0))+IF(E11="",0,IFERROR(VLOOKUP(E11,'09_装备梯度'!$A$6:$N$30,12,FALSE),0))+IF(F11="",0,IFERROR(VLOOKUP(F11,'09_装备梯度'!$A$6:$N$30,12,FALSE),0))</x:f>
        <x:v>925</x:v>
      </x:c>
      <x:c r="H11" s="36" t="n">
        <x:f>IF(C11&lt;=1,0,IF(C11&lt;=10,2,IF(C11&lt;=30,4,IF(C11&lt;=90,6,IF(C11&lt;=180,8,10)))))</x:f>
        <x:v>8</x:v>
      </x:c>
      <x:c r="I11" s="68" t="n">
        <x:f>IF(H11=0,1,INDEX('13_淬炼成本'!$O$6:$O$15,H11))</x:f>
        <x:v>1.5632883931740074</x:v>
      </x:c>
      <x:c r="J11" s="46" t="n">
        <x:f>G11*I11*VLOOKUP(B11,'16_玩家成长模拟'!$A$6:$K$8,11,FALSE)</x:f>
        <x:v>1446.0417636859568</x:v>
      </x:c>
      <x:c r="K11" s="46" t="str">
        <x:f>IF(C11&lt;=1,"青蛇洞",IF(C11&lt;=10,"玄铁秘窟",IF(C11&lt;=30,"黑风秘境","古修洞府")))</x:f>
        <x:v>古修洞府</x:v>
      </x:c>
      <x:c r="L11" s="46" t="n">
        <x:f>VLOOKUP(K11,$T$6:$U$9,2,FALSE)</x:f>
        <x:v>1300</x:v>
      </x:c>
      <x:c r="M11" s="91" t="n">
        <x:f>MIN('01_核心假设'!$B$50,MAX('01_核心假设'!$B$51,VLOOKUP(K11,'10_怪物秘境'!$A$18:$G$21,7,FALSE)*POWER(J11/L11,'01_核心假设'!$B$49)))</x:f>
        <x:v>0.5800713706187713</x:v>
      </x:c>
      <x:c r="N11" s="41" t="n">
        <x:f>C11*'01_核心假设'!$B$7/'01_核心假设'!$B$24*VLOOKUP(B11,'16_玩家成长模拟'!$A$6:$G$8,7,FALSE)</x:f>
        <x:v>288</x:v>
      </x:c>
      <x:c r="O11" s="41" t="n">
        <x:f>N11*M11</x:f>
        <x:v>167.06055473820615</x:v>
      </x:c>
      <x:c r="P11" s="41" t="n">
        <x:f>VLOOKUP(K11,'10_怪物秘境'!$A$18:$R$21,16,FALSE)*'01_核心假设'!$B$52</x:f>
        <x:v>6479.000000000001</x:v>
      </x:c>
      <x:c r="Q11" s="41" t="n">
        <x:f>O11*P11</x:f>
        <x:v>1082385.3341488377</x:v>
      </x:c>
      <x:c r="R11" s="41" t="n">
        <x:f>O11*VLOOKUP(K11,'10_怪物秘境'!$A$18:$M$21,13,FALSE)</x:f>
        <x:v>10.02363328429237</x:v>
      </x:c>
    </x:row>
    <x:row r="12">
      <x:c r="A12" s="36" t="str">
        <x:f>B12&amp;"|"&amp;C12</x:f>
        <x:v>均衡散修|365</x:v>
      </x:c>
      <x:c r="B12" s="30" t="str">
        <x:v>均衡散修</x:v>
      </x:c>
      <x:c r="C12" s="30" t="n">
        <x:v>365</x:v>
      </x:c>
      <x:c r="D12" s="36" t="str">
        <x:f>IF(C12&lt;=1,"粗制剑",IF(C12&lt;=10,"玄铁剑",IF(C12&lt;=30,"灵玉剑",IF(C12&lt;=90,"筑基飞剑","黑风剑"))))</x:f>
        <x:v>黑风剑</x:v>
      </x:c>
      <x:c r="E12" s="36" t="str">
        <x:f>IF(C12&lt;=1,"布衣",IF(C12&lt;=10,"玄铁甲",IF(C12&lt;=30,"灵玉法袍","筑基战甲")))</x:f>
        <x:v>筑基战甲</x:v>
      </x:c>
      <x:c r="F12" s="36" t="str">
        <x:f>IF(C12&lt;=1,"",IF(C12&lt;=10,"青玉佩",IF(C12&lt;=30,"玄灵戒","筑基护符")))</x:f>
        <x:v>筑基护符</x:v>
      </x:c>
      <x:c r="G12" s="46" t="n">
        <x:f>IF(D12="",0,IFERROR(VLOOKUP(D12,'09_装备梯度'!$A$6:$N$30,12,FALSE),0))+IF(E12="",0,IFERROR(VLOOKUP(E12,'09_装备梯度'!$A$6:$N$30,12,FALSE),0))+IF(F12="",0,IFERROR(VLOOKUP(F12,'09_装备梯度'!$A$6:$N$30,12,FALSE),0))</x:f>
        <x:v>925</x:v>
      </x:c>
      <x:c r="H12" s="36" t="n">
        <x:f>IF(C12&lt;=1,0,IF(C12&lt;=10,2,IF(C12&lt;=30,4,IF(C12&lt;=90,6,IF(C12&lt;=180,8,10)))))</x:f>
        <x:v>10</x:v>
      </x:c>
      <x:c r="I12" s="68" t="n">
        <x:f>IF(H12=0,1,INDEX('13_淬炼成本'!$O$6:$O$15,H12))</x:f>
        <x:v>1.831861339121302</x:v>
      </x:c>
      <x:c r="J12" s="46" t="n">
        <x:f>G12*I12*VLOOKUP(B12,'16_玩家成长模拟'!$A$6:$K$8,11,FALSE)</x:f>
        <x:v>1694.4717386872042</x:v>
      </x:c>
      <x:c r="K12" s="46" t="str">
        <x:f>IF(C12&lt;=1,"青蛇洞",IF(C12&lt;=10,"玄铁秘窟",IF(C12&lt;=30,"黑风秘境","古修洞府")))</x:f>
        <x:v>古修洞府</x:v>
      </x:c>
      <x:c r="L12" s="46" t="n">
        <x:f>VLOOKUP(K12,$T$6:$U$9,2,FALSE)</x:f>
        <x:v>1300</x:v>
      </x:c>
      <x:c r="M12" s="91" t="n">
        <x:f>MIN('01_核心假设'!$B$50,MAX('01_核心假设'!$B$51,VLOOKUP(K12,'10_怪物秘境'!$A$18:$G$21,7,FALSE)*POWER(J12/L12,'01_核心假设'!$B$49)))</x:f>
        <x:v>0.6279255841216558</x:v>
      </x:c>
      <x:c r="N12" s="41" t="n">
        <x:f>C12*'01_核心假设'!$B$7/'01_核心假设'!$B$24*VLOOKUP(B12,'16_玩家成长模拟'!$A$6:$G$8,7,FALSE)</x:f>
        <x:v>584</x:v>
      </x:c>
      <x:c r="O12" s="41" t="n">
        <x:f>N12*M12</x:f>
        <x:v>366.708541127047</x:v>
      </x:c>
      <x:c r="P12" s="41" t="n">
        <x:f>VLOOKUP(K12,'10_怪物秘境'!$A$18:$R$21,16,FALSE)*'01_核心假设'!$B$52</x:f>
        <x:v>6479.000000000001</x:v>
      </x:c>
      <x:c r="Q12" s="41" t="n">
        <x:f>O12*P12</x:f>
        <x:v>2375904.637962138</x:v>
      </x:c>
      <x:c r="R12" s="41" t="n">
        <x:f>O12*VLOOKUP(K12,'10_怪物秘境'!$A$18:$M$21,13,FALSE)</x:f>
        <x:v>22.002512467622818</x:v>
      </x:c>
    </x:row>
    <x:row r="13">
      <x:c r="A13" s="36" t="str">
        <x:f>B13&amp;"|"&amp;C13</x:f>
        <x:v>专精丹师|1</x:v>
      </x:c>
      <x:c r="B13" s="30" t="str">
        <x:v>专精丹师</x:v>
      </x:c>
      <x:c r="C13" s="30" t="n">
        <x:v>1</x:v>
      </x:c>
      <x:c r="D13" s="36" t="str">
        <x:f>IF(C13&lt;=1,"粗制剑",IF(C13&lt;=10,"玄铁剑",IF(C13&lt;=30,"灵玉剑",IF(C13&lt;=90,"筑基飞剑","黑风剑"))))</x:f>
        <x:v>粗制剑</x:v>
      </x:c>
      <x:c r="E13" s="36" t="str">
        <x:f>IF(C13&lt;=1,"布衣",IF(C13&lt;=10,"玄铁甲",IF(C13&lt;=30,"灵玉法袍","筑基战甲")))</x:f>
        <x:v>布衣</x:v>
      </x:c>
      <x:c r="F13" s="36" t="str">
        <x:f>IF(C13&lt;=1,"",IF(C13&lt;=10,"青玉佩",IF(C13&lt;=30,"玄灵戒","筑基护符")))</x:f>
      </x:c>
      <x:c r="G13" s="46" t="n">
        <x:f>IF(D13="",0,IFERROR(VLOOKUP(D13,'09_装备梯度'!$A$6:$N$30,12,FALSE),0))+IF(E13="",0,IFERROR(VLOOKUP(E13,'09_装备梯度'!$A$6:$N$30,12,FALSE),0))+IF(F13="",0,IFERROR(VLOOKUP(F13,'09_装备梯度'!$A$6:$N$30,12,FALSE),0))</x:f>
        <x:v>71</x:v>
      </x:c>
      <x:c r="H13" s="36" t="n">
        <x:f>IF(C13&lt;=1,0,IF(C13&lt;=10,2,IF(C13&lt;=30,4,IF(C13&lt;=90,6,IF(C13&lt;=180,8,10)))))</x:f>
        <x:v>0</x:v>
      </x:c>
      <x:c r="I13" s="68" t="n">
        <x:f>IF(H13=0,1,INDEX('13_淬炼成本'!$O$6:$O$15,H13))</x:f>
        <x:v>1</x:v>
      </x:c>
      <x:c r="J13" s="46" t="n">
        <x:f>G13*I13*VLOOKUP(B13,'16_玩家成长模拟'!$A$6:$K$8,11,FALSE)</x:f>
        <x:v>60.35</x:v>
      </x:c>
      <x:c r="K13" s="46" t="str">
        <x:f>IF(C13&lt;=1,"青蛇洞",IF(C13&lt;=10,"玄铁秘窟",IF(C13&lt;=30,"黑风秘境","古修洞府")))</x:f>
        <x:v>青蛇洞</x:v>
      </x:c>
      <x:c r="L13" s="46" t="n">
        <x:f>VLOOKUP(K13,$T$6:$U$9,2,FALSE)</x:f>
        <x:v>80</x:v>
      </x:c>
      <x:c r="M13" s="91" t="n">
        <x:f>MIN('01_核心假设'!$B$50,MAX('01_核心假设'!$B$51,VLOOKUP(K13,'10_怪物秘境'!$A$18:$G$21,7,FALSE)*POWER(J13/L13,'01_核心假设'!$B$49)))</x:f>
        <x:v>0.7816928744718094</x:v>
      </x:c>
      <x:c r="N13" s="41" t="n">
        <x:f>C13*'01_核心假设'!$B$7/'01_核心假设'!$B$24*VLOOKUP(B13,'16_玩家成长模拟'!$A$6:$G$8,7,FALSE)</x:f>
        <x:v>1.2</x:v>
      </x:c>
      <x:c r="O13" s="41" t="n">
        <x:f>N13*M13</x:f>
        <x:v>0.9380314493661712</x:v>
      </x:c>
      <x:c r="P13" s="41" t="n">
        <x:f>VLOOKUP(K13,'10_怪物秘境'!$A$18:$R$21,16,FALSE)*'01_核心假设'!$B$52</x:f>
        <x:v>4919.400000000001</x:v>
      </x:c>
      <x:c r="Q13" s="41" t="n">
        <x:f>O13*P13</x:f>
        <x:v>4614.551912011943</x:v>
      </x:c>
      <x:c r="R13" s="41" t="n">
        <x:f>O13*VLOOKUP(K13,'10_怪物秘境'!$A$18:$M$21,13,FALSE)</x:f>
        <x:v>0.04690157246830856</x:v>
      </x:c>
    </x:row>
    <x:row r="14">
      <x:c r="A14" s="36" t="str">
        <x:f>B14&amp;"|"&amp;C14</x:f>
        <x:v>专精丹师|7</x:v>
      </x:c>
      <x:c r="B14" s="30" t="str">
        <x:v>专精丹师</x:v>
      </x:c>
      <x:c r="C14" s="30" t="n">
        <x:v>7</x:v>
      </x:c>
      <x:c r="D14" s="36" t="str">
        <x:f>IF(C14&lt;=1,"粗制剑",IF(C14&lt;=10,"玄铁剑",IF(C14&lt;=30,"灵玉剑",IF(C14&lt;=90,"筑基飞剑","黑风剑"))))</x:f>
        <x:v>玄铁剑</x:v>
      </x:c>
      <x:c r="E14" s="36" t="str">
        <x:f>IF(C14&lt;=1,"布衣",IF(C14&lt;=10,"玄铁甲",IF(C14&lt;=30,"灵玉法袍","筑基战甲")))</x:f>
        <x:v>玄铁甲</x:v>
      </x:c>
      <x:c r="F14" s="36" t="str">
        <x:f>IF(C14&lt;=1,"",IF(C14&lt;=10,"青玉佩",IF(C14&lt;=30,"玄灵戒","筑基护符")))</x:f>
        <x:v>青玉佩</x:v>
      </x:c>
      <x:c r="G14" s="46" t="n">
        <x:f>IF(D14="",0,IFERROR(VLOOKUP(D14,'09_装备梯度'!$A$6:$N$30,12,FALSE),0))+IF(E14="",0,IFERROR(VLOOKUP(E14,'09_装备梯度'!$A$6:$N$30,12,FALSE),0))+IF(F14="",0,IFERROR(VLOOKUP(F14,'09_装备梯度'!$A$6:$N$30,12,FALSE),0))</x:f>
        <x:v>366</x:v>
      </x:c>
      <x:c r="H14" s="36" t="n">
        <x:f>IF(C14&lt;=1,0,IF(C14&lt;=10,2,IF(C14&lt;=30,4,IF(C14&lt;=90,6,IF(C14&lt;=180,8,10)))))</x:f>
        <x:v>2</x:v>
      </x:c>
      <x:c r="I14" s="68" t="n">
        <x:f>IF(H14=0,1,INDEX('13_淬炼成本'!$O$6:$O$15,H14))</x:f>
        <x:v>1.0868</x:v>
      </x:c>
      <x:c r="J14" s="46" t="n">
        <x:f>G14*I14*VLOOKUP(B14,'16_玩家成长模拟'!$A$6:$K$8,11,FALSE)</x:f>
        <x:v>338.10348</x:v>
      </x:c>
      <x:c r="K14" s="46" t="str">
        <x:f>IF(C14&lt;=1,"青蛇洞",IF(C14&lt;=10,"玄铁秘窟",IF(C14&lt;=30,"黑风秘境","古修洞府")))</x:f>
        <x:v>玄铁秘窟</x:v>
      </x:c>
      <x:c r="L14" s="46" t="n">
        <x:f>VLOOKUP(K14,$T$6:$U$9,2,FALSE)</x:f>
        <x:v>450</x:v>
      </x:c>
      <x:c r="M14" s="91" t="n">
        <x:f>MIN('01_核心假设'!$B$50,MAX('01_核心假设'!$B$51,VLOOKUP(K14,'10_怪物秘境'!$A$18:$G$21,7,FALSE)*POWER(J14/L14,'01_核心假设'!$B$49)))</x:f>
        <x:v>0.6761034720810122</x:v>
      </x:c>
      <x:c r="N14" s="41" t="n">
        <x:f>C14*'01_核心假设'!$B$7/'01_核心假设'!$B$24*VLOOKUP(B14,'16_玩家成长模拟'!$A$6:$G$8,7,FALSE)</x:f>
        <x:v>8.4</x:v>
      </x:c>
      <x:c r="O14" s="41" t="n">
        <x:f>N14*M14</x:f>
        <x:v>5.679269165480503</x:v>
      </x:c>
      <x:c r="P14" s="41" t="n">
        <x:f>VLOOKUP(K14,'10_怪物秘境'!$A$18:$R$21,16,FALSE)*'01_核心假设'!$B$52</x:f>
        <x:v>4767.360000000001</x:v>
      </x:c>
      <x:c r="Q14" s="41" t="n">
        <x:f>O14*P14</x:f>
        <x:v>27075.120648745135</x:v>
      </x:c>
      <x:c r="R14" s="41" t="n">
        <x:f>O14*VLOOKUP(K14,'10_怪物秘境'!$A$18:$M$21,13,FALSE)</x:f>
        <x:v>0.34075614992883013</x:v>
      </x:c>
    </x:row>
    <x:row r="15">
      <x:c r="A15" s="36" t="str">
        <x:f>B15&amp;"|"&amp;C15</x:f>
        <x:v>专精丹师|10</x:v>
      </x:c>
      <x:c r="B15" s="30" t="str">
        <x:v>专精丹师</x:v>
      </x:c>
      <x:c r="C15" s="30" t="n">
        <x:v>10</x:v>
      </x:c>
      <x:c r="D15" s="36" t="str">
        <x:f>IF(C15&lt;=1,"粗制剑",IF(C15&lt;=10,"玄铁剑",IF(C15&lt;=30,"灵玉剑",IF(C15&lt;=90,"筑基飞剑","黑风剑"))))</x:f>
        <x:v>玄铁剑</x:v>
      </x:c>
      <x:c r="E15" s="36" t="str">
        <x:f>IF(C15&lt;=1,"布衣",IF(C15&lt;=10,"玄铁甲",IF(C15&lt;=30,"灵玉法袍","筑基战甲")))</x:f>
        <x:v>玄铁甲</x:v>
      </x:c>
      <x:c r="F15" s="36" t="str">
        <x:f>IF(C15&lt;=1,"",IF(C15&lt;=10,"青玉佩",IF(C15&lt;=30,"玄灵戒","筑基护符")))</x:f>
        <x:v>青玉佩</x:v>
      </x:c>
      <x:c r="G15" s="46" t="n">
        <x:f>IF(D15="",0,IFERROR(VLOOKUP(D15,'09_装备梯度'!$A$6:$N$30,12,FALSE),0))+IF(E15="",0,IFERROR(VLOOKUP(E15,'09_装备梯度'!$A$6:$N$30,12,FALSE),0))+IF(F15="",0,IFERROR(VLOOKUP(F15,'09_装备梯度'!$A$6:$N$30,12,FALSE),0))</x:f>
        <x:v>366</x:v>
      </x:c>
      <x:c r="H15" s="36" t="n">
        <x:f>IF(C15&lt;=1,0,IF(C15&lt;=10,2,IF(C15&lt;=30,4,IF(C15&lt;=90,6,IF(C15&lt;=180,8,10)))))</x:f>
        <x:v>2</x:v>
      </x:c>
      <x:c r="I15" s="68" t="n">
        <x:f>IF(H15=0,1,INDEX('13_淬炼成本'!$O$6:$O$15,H15))</x:f>
        <x:v>1.0868</x:v>
      </x:c>
      <x:c r="J15" s="46" t="n">
        <x:f>G15*I15*VLOOKUP(B15,'16_玩家成长模拟'!$A$6:$K$8,11,FALSE)</x:f>
        <x:v>338.10348</x:v>
      </x:c>
      <x:c r="K15" s="46" t="str">
        <x:f>IF(C15&lt;=1,"青蛇洞",IF(C15&lt;=10,"玄铁秘窟",IF(C15&lt;=30,"黑风秘境","古修洞府")))</x:f>
        <x:v>玄铁秘窟</x:v>
      </x:c>
      <x:c r="L15" s="46" t="n">
        <x:f>VLOOKUP(K15,$T$6:$U$9,2,FALSE)</x:f>
        <x:v>450</x:v>
      </x:c>
      <x:c r="M15" s="91" t="n">
        <x:f>MIN('01_核心假设'!$B$50,MAX('01_核心假设'!$B$51,VLOOKUP(K15,'10_怪物秘境'!$A$18:$G$21,7,FALSE)*POWER(J15/L15,'01_核心假设'!$B$49)))</x:f>
        <x:v>0.6761034720810122</x:v>
      </x:c>
      <x:c r="N15" s="41" t="n">
        <x:f>C15*'01_核心假设'!$B$7/'01_核心假设'!$B$24*VLOOKUP(B15,'16_玩家成长模拟'!$A$6:$G$8,7,FALSE)</x:f>
        <x:v>12</x:v>
      </x:c>
      <x:c r="O15" s="41" t="n">
        <x:f>N15*M15</x:f>
        <x:v>8.113241664972147</x:v>
      </x:c>
      <x:c r="P15" s="41" t="n">
        <x:f>VLOOKUP(K15,'10_怪物秘境'!$A$18:$R$21,16,FALSE)*'01_核心假设'!$B$52</x:f>
        <x:v>4767.360000000001</x:v>
      </x:c>
      <x:c r="Q15" s="41" t="n">
        <x:f>O15*P15</x:f>
        <x:v>38678.74378392162</x:v>
      </x:c>
      <x:c r="R15" s="41" t="n">
        <x:f>O15*VLOOKUP(K15,'10_怪物秘境'!$A$18:$M$21,13,FALSE)</x:f>
        <x:v>0.4867944998983288</x:v>
      </x:c>
    </x:row>
    <x:row r="16">
      <x:c r="A16" s="36" t="str">
        <x:f>B16&amp;"|"&amp;C16</x:f>
        <x:v>专精丹师|30</x:v>
      </x:c>
      <x:c r="B16" s="30" t="str">
        <x:v>专精丹师</x:v>
      </x:c>
      <x:c r="C16" s="30" t="n">
        <x:v>30</x:v>
      </x:c>
      <x:c r="D16" s="36" t="str">
        <x:f>IF(C16&lt;=1,"粗制剑",IF(C16&lt;=10,"玄铁剑",IF(C16&lt;=30,"灵玉剑",IF(C16&lt;=90,"筑基飞剑","黑风剑"))))</x:f>
        <x:v>灵玉剑</x:v>
      </x:c>
      <x:c r="E16" s="36" t="str">
        <x:f>IF(C16&lt;=1,"布衣",IF(C16&lt;=10,"玄铁甲",IF(C16&lt;=30,"灵玉法袍","筑基战甲")))</x:f>
        <x:v>灵玉法袍</x:v>
      </x:c>
      <x:c r="F16" s="36" t="str">
        <x:f>IF(C16&lt;=1,"",IF(C16&lt;=10,"青玉佩",IF(C16&lt;=30,"玄灵戒","筑基护符")))</x:f>
        <x:v>玄灵戒</x:v>
      </x:c>
      <x:c r="G16" s="46" t="n">
        <x:f>IF(D16="",0,IFERROR(VLOOKUP(D16,'09_装备梯度'!$A$6:$N$30,12,FALSE),0))+IF(E16="",0,IFERROR(VLOOKUP(E16,'09_装备梯度'!$A$6:$N$30,12,FALSE),0))+IF(F16="",0,IFERROR(VLOOKUP(F16,'09_装备梯度'!$A$6:$N$30,12,FALSE),0))</x:f>
        <x:v>616</x:v>
      </x:c>
      <x:c r="H16" s="36" t="n">
        <x:f>IF(C16&lt;=1,0,IF(C16&lt;=10,2,IF(C16&lt;=30,4,IF(C16&lt;=90,6,IF(C16&lt;=180,8,10)))))</x:f>
        <x:v>4</x:v>
      </x:c>
      <x:c r="I16" s="68" t="n">
        <x:f>IF(H16=0,1,INDEX('13_淬炼成本'!$O$6:$O$15,H16))</x:f>
        <x:v>1.2039027</x:v>
      </x:c>
      <x:c r="J16" s="46" t="n">
        <x:f>G16*I16*VLOOKUP(B16,'16_玩家成长模拟'!$A$6:$K$8,11,FALSE)</x:f>
        <x:v>630.36345372</x:v>
      </x:c>
      <x:c r="K16" s="46" t="str">
        <x:f>IF(C16&lt;=1,"青蛇洞",IF(C16&lt;=10,"玄铁秘窟",IF(C16&lt;=30,"黑风秘境","古修洞府")))</x:f>
        <x:v>黑风秘境</x:v>
      </x:c>
      <x:c r="L16" s="46" t="n">
        <x:f>VLOOKUP(K16,$T$6:$U$9,2,FALSE)</x:f>
        <x:v>700</x:v>
      </x:c>
      <x:c r="M16" s="91" t="n">
        <x:f>MIN('01_核心假设'!$B$50,MAX('01_核心假设'!$B$51,VLOOKUP(K16,'10_怪物秘境'!$A$18:$G$21,7,FALSE)*POWER(J16/L16,'01_核心假设'!$B$49)))</x:f>
        <x:v>0.6168219923778658</x:v>
      </x:c>
      <x:c r="N16" s="41" t="n">
        <x:f>C16*'01_核心假设'!$B$7/'01_核心假设'!$B$24*VLOOKUP(B16,'16_玩家成长模拟'!$A$6:$G$8,7,FALSE)</x:f>
        <x:v>36</x:v>
      </x:c>
      <x:c r="O16" s="41" t="n">
        <x:f>N16*M16</x:f>
        <x:v>22.20559172560317</x:v>
      </x:c>
      <x:c r="P16" s="41" t="n">
        <x:f>VLOOKUP(K16,'10_怪物秘境'!$A$18:$R$21,16,FALSE)*'01_核心假设'!$B$52</x:f>
        <x:v>7839</x:v>
      </x:c>
      <x:c r="Q16" s="41" t="n">
        <x:f>O16*P16</x:f>
        <x:v>174069.63353700325</x:v>
      </x:c>
      <x:c r="R16" s="41" t="n">
        <x:f>O16*VLOOKUP(K16,'10_怪物秘境'!$A$18:$M$21,13,FALSE)</x:f>
        <x:v>0.777195710396111</x:v>
      </x:c>
    </x:row>
    <x:row r="17">
      <x:c r="A17" s="36" t="str">
        <x:f>B17&amp;"|"&amp;C17</x:f>
        <x:v>专精丹师|90</x:v>
      </x:c>
      <x:c r="B17" s="30" t="str">
        <x:v>专精丹师</x:v>
      </x:c>
      <x:c r="C17" s="30" t="n">
        <x:v>90</x:v>
      </x:c>
      <x:c r="D17" s="36" t="str">
        <x:f>IF(C17&lt;=1,"粗制剑",IF(C17&lt;=10,"玄铁剑",IF(C17&lt;=30,"灵玉剑",IF(C17&lt;=90,"筑基飞剑","黑风剑"))))</x:f>
        <x:v>筑基飞剑</x:v>
      </x:c>
      <x:c r="E17" s="36" t="str">
        <x:f>IF(C17&lt;=1,"布衣",IF(C17&lt;=10,"玄铁甲",IF(C17&lt;=30,"灵玉法袍","筑基战甲")))</x:f>
        <x:v>筑基战甲</x:v>
      </x:c>
      <x:c r="F17" s="36" t="str">
        <x:f>IF(C17&lt;=1,"",IF(C17&lt;=10,"青玉佩",IF(C17&lt;=30,"玄灵戒","筑基护符")))</x:f>
        <x:v>筑基护符</x:v>
      </x:c>
      <x:c r="G17" s="46" t="n">
        <x:f>IF(D17="",0,IFERROR(VLOOKUP(D17,'09_装备梯度'!$A$6:$N$30,12,FALSE),0))+IF(E17="",0,IFERROR(VLOOKUP(E17,'09_装备梯度'!$A$6:$N$30,12,FALSE),0))+IF(F17="",0,IFERROR(VLOOKUP(F17,'09_装备梯度'!$A$6:$N$30,12,FALSE),0))</x:f>
        <x:v>821</x:v>
      </x:c>
      <x:c r="H17" s="36" t="n">
        <x:f>IF(C17&lt;=1,0,IF(C17&lt;=10,2,IF(C17&lt;=30,4,IF(C17&lt;=90,6,IF(C17&lt;=180,8,10)))))</x:f>
        <x:v>6</x:v>
      </x:c>
      <x:c r="I17" s="68" t="n">
        <x:f>IF(H17=0,1,INDEX('13_淬炼成本'!$O$6:$O$15,H17))</x:f>
        <x:v>1.35908575803</x:v>
      </x:c>
      <x:c r="J17" s="46" t="n">
        <x:f>G17*I17*VLOOKUP(B17,'16_玩家成长模拟'!$A$6:$K$8,11,FALSE)</x:f>
        <x:v>948.4379962412355</x:v>
      </x:c>
      <x:c r="K17" s="46" t="str">
        <x:f>IF(C17&lt;=1,"青蛇洞",IF(C17&lt;=10,"玄铁秘窟",IF(C17&lt;=30,"黑风秘境","古修洞府")))</x:f>
        <x:v>古修洞府</x:v>
      </x:c>
      <x:c r="L17" s="46" t="n">
        <x:f>VLOOKUP(K17,$T$6:$U$9,2,FALSE)</x:f>
        <x:v>1300</x:v>
      </x:c>
      <x:c r="M17" s="91" t="n">
        <x:f>MIN('01_核心假设'!$B$50,MAX('01_核心假设'!$B$51,VLOOKUP(K17,'10_怪物秘境'!$A$18:$G$21,7,FALSE)*POWER(J17/L17,'01_核心假设'!$B$49)))</x:f>
        <x:v>0.46978104053744163</x:v>
      </x:c>
      <x:c r="N17" s="41" t="n">
        <x:f>C17*'01_核心假设'!$B$7/'01_核心假设'!$B$24*VLOOKUP(B17,'16_玩家成长模拟'!$A$6:$G$8,7,FALSE)</x:f>
        <x:v>108</x:v>
      </x:c>
      <x:c r="O17" s="41" t="n">
        <x:f>N17*M17</x:f>
        <x:v>50.7363523780437</x:v>
      </x:c>
      <x:c r="P17" s="41" t="n">
        <x:f>VLOOKUP(K17,'10_怪物秘境'!$A$18:$R$21,16,FALSE)*'01_核心假设'!$B$52</x:f>
        <x:v>6479.000000000001</x:v>
      </x:c>
      <x:c r="Q17" s="41" t="n">
        <x:f>O17*P17</x:f>
        <x:v>328720.8270573452</x:v>
      </x:c>
      <x:c r="R17" s="41" t="n">
        <x:f>O17*VLOOKUP(K17,'10_怪物秘境'!$A$18:$M$21,13,FALSE)</x:f>
        <x:v>3.0441811426826217</x:v>
      </x:c>
    </x:row>
    <x:row r="18">
      <x:c r="A18" s="36" t="str">
        <x:f>B18&amp;"|"&amp;C18</x:f>
        <x:v>专精丹师|180</x:v>
      </x:c>
      <x:c r="B18" s="30" t="str">
        <x:v>专精丹师</x:v>
      </x:c>
      <x:c r="C18" s="30" t="n">
        <x:v>180</x:v>
      </x:c>
      <x:c r="D18" s="36" t="str">
        <x:f>IF(C18&lt;=1,"粗制剑",IF(C18&lt;=10,"玄铁剑",IF(C18&lt;=30,"灵玉剑",IF(C18&lt;=90,"筑基飞剑","黑风剑"))))</x:f>
        <x:v>黑风剑</x:v>
      </x:c>
      <x:c r="E18" s="36" t="str">
        <x:f>IF(C18&lt;=1,"布衣",IF(C18&lt;=10,"玄铁甲",IF(C18&lt;=30,"灵玉法袍","筑基战甲")))</x:f>
        <x:v>筑基战甲</x:v>
      </x:c>
      <x:c r="F18" s="36" t="str">
        <x:f>IF(C18&lt;=1,"",IF(C18&lt;=10,"青玉佩",IF(C18&lt;=30,"玄灵戒","筑基护符")))</x:f>
        <x:v>筑基护符</x:v>
      </x:c>
      <x:c r="G18" s="46" t="n">
        <x:f>IF(D18="",0,IFERROR(VLOOKUP(D18,'09_装备梯度'!$A$6:$N$30,12,FALSE),0))+IF(E18="",0,IFERROR(VLOOKUP(E18,'09_装备梯度'!$A$6:$N$30,12,FALSE),0))+IF(F18="",0,IFERROR(VLOOKUP(F18,'09_装备梯度'!$A$6:$N$30,12,FALSE),0))</x:f>
        <x:v>925</x:v>
      </x:c>
      <x:c r="H18" s="36" t="n">
        <x:f>IF(C18&lt;=1,0,IF(C18&lt;=10,2,IF(C18&lt;=30,4,IF(C18&lt;=90,6,IF(C18&lt;=180,8,10)))))</x:f>
        <x:v>8</x:v>
      </x:c>
      <x:c r="I18" s="68" t="n">
        <x:f>IF(H18=0,1,INDEX('13_淬炼成本'!$O$6:$O$15,H18))</x:f>
        <x:v>1.5632883931740074</x:v>
      </x:c>
      <x:c r="J18" s="46" t="n">
        <x:f>G18*I18*VLOOKUP(B18,'16_玩家成长模拟'!$A$6:$K$8,11,FALSE)</x:f>
        <x:v>1229.1354991330631</x:v>
      </x:c>
      <x:c r="K18" s="46" t="str">
        <x:f>IF(C18&lt;=1,"青蛇洞",IF(C18&lt;=10,"玄铁秘窟",IF(C18&lt;=30,"黑风秘境","古修洞府")))</x:f>
        <x:v>古修洞府</x:v>
      </x:c>
      <x:c r="L18" s="46" t="n">
        <x:f>VLOOKUP(K18,$T$6:$U$9,2,FALSE)</x:f>
        <x:v>1300</x:v>
      </x:c>
      <x:c r="M18" s="91" t="n">
        <x:f>MIN('01_核心假设'!$B$50,MAX('01_核心假设'!$B$51,VLOOKUP(K18,'10_怪物秘境'!$A$18:$G$21,7,FALSE)*POWER(J18/L18,'01_核心假设'!$B$49)))</x:f>
        <x:v>0.5347993789822582</x:v>
      </x:c>
      <x:c r="N18" s="41" t="n">
        <x:f>C18*'01_核心假设'!$B$7/'01_核心假设'!$B$24*VLOOKUP(B18,'16_玩家成长模拟'!$A$6:$G$8,7,FALSE)</x:f>
        <x:v>216</x:v>
      </x:c>
      <x:c r="O18" s="41" t="n">
        <x:f>N18*M18</x:f>
        <x:v>115.51666586016776</x:v>
      </x:c>
      <x:c r="P18" s="41" t="n">
        <x:f>VLOOKUP(K18,'10_怪物秘境'!$A$18:$R$21,16,FALSE)*'01_核心假设'!$B$52</x:f>
        <x:v>6479.000000000001</x:v>
      </x:c>
      <x:c r="Q18" s="41" t="n">
        <x:f>O18*P18</x:f>
        <x:v>748432.478108027</x:v>
      </x:c>
      <x:c r="R18" s="41" t="n">
        <x:f>O18*VLOOKUP(K18,'10_怪物秘境'!$A$18:$M$21,13,FALSE)</x:f>
        <x:v>6.930999951610065</x:v>
      </x:c>
    </x:row>
    <x:row r="19">
      <x:c r="A19" s="36" t="str">
        <x:f>B19&amp;"|"&amp;C19</x:f>
        <x:v>专精丹师|365</x:v>
      </x:c>
      <x:c r="B19" s="30" t="str">
        <x:v>专精丹师</x:v>
      </x:c>
      <x:c r="C19" s="30" t="n">
        <x:v>365</x:v>
      </x:c>
      <x:c r="D19" s="36" t="str">
        <x:f>IF(C19&lt;=1,"粗制剑",IF(C19&lt;=10,"玄铁剑",IF(C19&lt;=30,"灵玉剑",IF(C19&lt;=90,"筑基飞剑","黑风剑"))))</x:f>
        <x:v>黑风剑</x:v>
      </x:c>
      <x:c r="E19" s="36" t="str">
        <x:f>IF(C19&lt;=1,"布衣",IF(C19&lt;=10,"玄铁甲",IF(C19&lt;=30,"灵玉法袍","筑基战甲")))</x:f>
        <x:v>筑基战甲</x:v>
      </x:c>
      <x:c r="F19" s="36" t="str">
        <x:f>IF(C19&lt;=1,"",IF(C19&lt;=10,"青玉佩",IF(C19&lt;=30,"玄灵戒","筑基护符")))</x:f>
        <x:v>筑基护符</x:v>
      </x:c>
      <x:c r="G19" s="46" t="n">
        <x:f>IF(D19="",0,IFERROR(VLOOKUP(D19,'09_装备梯度'!$A$6:$N$30,12,FALSE),0))+IF(E19="",0,IFERROR(VLOOKUP(E19,'09_装备梯度'!$A$6:$N$30,12,FALSE),0))+IF(F19="",0,IFERROR(VLOOKUP(F19,'09_装备梯度'!$A$6:$N$30,12,FALSE),0))</x:f>
        <x:v>925</x:v>
      </x:c>
      <x:c r="H19" s="36" t="n">
        <x:f>IF(C19&lt;=1,0,IF(C19&lt;=10,2,IF(C19&lt;=30,4,IF(C19&lt;=90,6,IF(C19&lt;=180,8,10)))))</x:f>
        <x:v>10</x:v>
      </x:c>
      <x:c r="I19" s="68" t="n">
        <x:f>IF(H19=0,1,INDEX('13_淬炼成本'!$O$6:$O$15,H19))</x:f>
        <x:v>1.831861339121302</x:v>
      </x:c>
      <x:c r="J19" s="46" t="n">
        <x:f>G19*I19*VLOOKUP(B19,'16_玩家成长模拟'!$A$6:$K$8,11,FALSE)</x:f>
        <x:v>1440.3009778841235</x:v>
      </x:c>
      <x:c r="K19" s="46" t="str">
        <x:f>IF(C19&lt;=1,"青蛇洞",IF(C19&lt;=10,"玄铁秘窟",IF(C19&lt;=30,"黑风秘境","古修洞府")))</x:f>
        <x:v>古修洞府</x:v>
      </x:c>
      <x:c r="L19" s="46" t="n">
        <x:f>VLOOKUP(K19,$T$6:$U$9,2,FALSE)</x:f>
        <x:v>1300</x:v>
      </x:c>
      <x:c r="M19" s="91" t="n">
        <x:f>MIN('01_核心假设'!$B$50,MAX('01_核心假设'!$B$51,VLOOKUP(K19,'10_怪物秘境'!$A$18:$G$21,7,FALSE)*POWER(J19/L19,'01_核心假设'!$B$49)))</x:f>
        <x:v>0.578918783868121</x:v>
      </x:c>
      <x:c r="N19" s="41" t="n">
        <x:f>C19*'01_核心假设'!$B$7/'01_核心假设'!$B$24*VLOOKUP(B19,'16_玩家成长模拟'!$A$6:$G$8,7,FALSE)</x:f>
        <x:v>438</x:v>
      </x:c>
      <x:c r="O19" s="41" t="n">
        <x:f>N19*M19</x:f>
        <x:v>253.566427334237</x:v>
      </x:c>
      <x:c r="P19" s="41" t="n">
        <x:f>VLOOKUP(K19,'10_怪物秘境'!$A$18:$R$21,16,FALSE)*'01_核心假设'!$B$52</x:f>
        <x:v>6479.000000000001</x:v>
      </x:c>
      <x:c r="Q19" s="41" t="n">
        <x:f>O19*P19</x:f>
        <x:v>1642856.8826985217</x:v>
      </x:c>
      <x:c r="R19" s="41" t="n">
        <x:f>O19*VLOOKUP(K19,'10_怪物秘境'!$A$18:$M$21,13,FALSE)</x:f>
        <x:v>15.21398564005422</x:v>
      </x:c>
    </x:row>
    <x:row r="20">
      <x:c r="A20" s="36" t="str">
        <x:f>B20&amp;"|"&amp;C20</x:f>
        <x:v>秘境修士|1</x:v>
      </x:c>
      <x:c r="B20" s="30" t="str">
        <x:v>秘境修士</x:v>
      </x:c>
      <x:c r="C20" s="30" t="n">
        <x:v>1</x:v>
      </x:c>
      <x:c r="D20" s="36" t="str">
        <x:f>IF(C20&lt;=1,"粗制剑",IF(C20&lt;=10,"玄铁剑",IF(C20&lt;=30,"灵玉剑",IF(C20&lt;=90,"筑基飞剑","黑风剑"))))</x:f>
        <x:v>粗制剑</x:v>
      </x:c>
      <x:c r="E20" s="36" t="str">
        <x:f>IF(C20&lt;=1,"布衣",IF(C20&lt;=10,"玄铁甲",IF(C20&lt;=30,"灵玉法袍","筑基战甲")))</x:f>
        <x:v>布衣</x:v>
      </x:c>
      <x:c r="F20" s="36" t="str">
        <x:f>IF(C20&lt;=1,"",IF(C20&lt;=10,"青玉佩",IF(C20&lt;=30,"玄灵戒","筑基护符")))</x:f>
      </x:c>
      <x:c r="G20" s="46" t="n">
        <x:f>IF(D20="",0,IFERROR(VLOOKUP(D20,'09_装备梯度'!$A$6:$N$30,12,FALSE),0))+IF(E20="",0,IFERROR(VLOOKUP(E20,'09_装备梯度'!$A$6:$N$30,12,FALSE),0))+IF(F20="",0,IFERROR(VLOOKUP(F20,'09_装备梯度'!$A$6:$N$30,12,FALSE),0))</x:f>
        <x:v>71</x:v>
      </x:c>
      <x:c r="H20" s="36" t="n">
        <x:f>IF(C20&lt;=1,0,IF(C20&lt;=10,2,IF(C20&lt;=30,4,IF(C20&lt;=90,6,IF(C20&lt;=180,8,10)))))</x:f>
        <x:v>0</x:v>
      </x:c>
      <x:c r="I20" s="68" t="n">
        <x:f>IF(H20=0,1,INDEX('13_淬炼成本'!$O$6:$O$15,H20))</x:f>
        <x:v>1</x:v>
      </x:c>
      <x:c r="J20" s="46" t="n">
        <x:f>G20*I20*VLOOKUP(B20,'16_玩家成长模拟'!$A$6:$K$8,11,FALSE)</x:f>
        <x:v>88.75</x:v>
      </x:c>
      <x:c r="K20" s="46" t="str">
        <x:f>IF(C20&lt;=1,"青蛇洞",IF(C20&lt;=10,"玄铁秘窟",IF(C20&lt;=30,"黑风秘境","古修洞府")))</x:f>
        <x:v>青蛇洞</x:v>
      </x:c>
      <x:c r="L20" s="46" t="n">
        <x:f>VLOOKUP(K20,$T$6:$U$9,2,FALSE)</x:f>
        <x:v>80</x:v>
      </x:c>
      <x:c r="M20" s="91" t="n">
        <x:f>MIN('01_核心假设'!$B$50,MAX('01_核心假设'!$B$51,VLOOKUP(K20,'10_怪物秘境'!$A$18:$G$21,7,FALSE)*POWER(J20/L20,'01_核心假设'!$B$49)))</x:f>
        <x:v>0.9479418494823404</x:v>
      </x:c>
      <x:c r="N20" s="41" t="n">
        <x:f>C20*'01_核心假设'!$B$7/'01_核心假设'!$B$24*VLOOKUP(B20,'16_玩家成长模拟'!$A$6:$G$8,7,FALSE)</x:f>
        <x:v>2</x:v>
      </x:c>
      <x:c r="O20" s="41" t="n">
        <x:f>N20*M20</x:f>
        <x:v>1.8958836989646808</x:v>
      </x:c>
      <x:c r="P20" s="41" t="n">
        <x:f>VLOOKUP(K20,'10_怪物秘境'!$A$18:$R$21,16,FALSE)*'01_核心假设'!$B$52</x:f>
        <x:v>4919.400000000001</x:v>
      </x:c>
      <x:c r="Q20" s="41" t="n">
        <x:f>O20*P20</x:f>
        <x:v>9326.610268686853</x:v>
      </x:c>
      <x:c r="R20" s="41" t="n">
        <x:f>O20*VLOOKUP(K20,'10_怪物秘境'!$A$18:$M$21,13,FALSE)</x:f>
        <x:v>0.09479418494823405</x:v>
      </x:c>
    </x:row>
    <x:row r="21">
      <x:c r="A21" s="36" t="str">
        <x:f>B21&amp;"|"&amp;C21</x:f>
        <x:v>秘境修士|7</x:v>
      </x:c>
      <x:c r="B21" s="30" t="str">
        <x:v>秘境修士</x:v>
      </x:c>
      <x:c r="C21" s="30" t="n">
        <x:v>7</x:v>
      </x:c>
      <x:c r="D21" s="36" t="str">
        <x:f>IF(C21&lt;=1,"粗制剑",IF(C21&lt;=10,"玄铁剑",IF(C21&lt;=30,"灵玉剑",IF(C21&lt;=90,"筑基飞剑","黑风剑"))))</x:f>
        <x:v>玄铁剑</x:v>
      </x:c>
      <x:c r="E21" s="36" t="str">
        <x:f>IF(C21&lt;=1,"布衣",IF(C21&lt;=10,"玄铁甲",IF(C21&lt;=30,"灵玉法袍","筑基战甲")))</x:f>
        <x:v>玄铁甲</x:v>
      </x:c>
      <x:c r="F21" s="36" t="str">
        <x:f>IF(C21&lt;=1,"",IF(C21&lt;=10,"青玉佩",IF(C21&lt;=30,"玄灵戒","筑基护符")))</x:f>
        <x:v>青玉佩</x:v>
      </x:c>
      <x:c r="G21" s="46" t="n">
        <x:f>IF(D21="",0,IFERROR(VLOOKUP(D21,'09_装备梯度'!$A$6:$N$30,12,FALSE),0))+IF(E21="",0,IFERROR(VLOOKUP(E21,'09_装备梯度'!$A$6:$N$30,12,FALSE),0))+IF(F21="",0,IFERROR(VLOOKUP(F21,'09_装备梯度'!$A$6:$N$30,12,FALSE),0))</x:f>
        <x:v>366</x:v>
      </x:c>
      <x:c r="H21" s="36" t="n">
        <x:f>IF(C21&lt;=1,0,IF(C21&lt;=10,2,IF(C21&lt;=30,4,IF(C21&lt;=90,6,IF(C21&lt;=180,8,10)))))</x:f>
        <x:v>2</x:v>
      </x:c>
      <x:c r="I21" s="68" t="n">
        <x:f>IF(H21=0,1,INDEX('13_淬炼成本'!$O$6:$O$15,H21))</x:f>
        <x:v>1.0868</x:v>
      </x:c>
      <x:c r="J21" s="46" t="n">
        <x:f>G21*I21*VLOOKUP(B21,'16_玩家成长模拟'!$A$6:$K$8,11,FALSE)</x:f>
        <x:v>497.211</x:v>
      </x:c>
      <x:c r="K21" s="46" t="str">
        <x:f>IF(C21&lt;=1,"青蛇洞",IF(C21&lt;=10,"玄铁秘窟",IF(C21&lt;=30,"黑风秘境","古修洞府")))</x:f>
        <x:v>玄铁秘窟</x:v>
      </x:c>
      <x:c r="L21" s="46" t="n">
        <x:f>VLOOKUP(K21,$T$6:$U$9,2,FALSE)</x:f>
        <x:v>450</x:v>
      </x:c>
      <x:c r="M21" s="91" t="n">
        <x:f>MIN('01_核心假设'!$B$50,MAX('01_核心假设'!$B$51,VLOOKUP(K21,'10_怪物秘境'!$A$18:$G$21,7,FALSE)*POWER(J21/L21,'01_核心假设'!$B$49)))</x:f>
        <x:v>0.8198958909520161</x:v>
      </x:c>
      <x:c r="N21" s="41" t="n">
        <x:f>C21*'01_核心假设'!$B$7/'01_核心假设'!$B$24*VLOOKUP(B21,'16_玩家成长模拟'!$A$6:$G$8,7,FALSE)</x:f>
        <x:v>14</x:v>
      </x:c>
      <x:c r="O21" s="41" t="n">
        <x:f>N21*M21</x:f>
        <x:v>11.478542473328226</x:v>
      </x:c>
      <x:c r="P21" s="41" t="n">
        <x:f>VLOOKUP(K21,'10_怪物秘境'!$A$18:$R$21,16,FALSE)*'01_核心假设'!$B$52</x:f>
        <x:v>4767.360000000001</x:v>
      </x:c>
      <x:c r="Q21" s="41" t="n">
        <x:f>O21*P21</x:f>
        <x:v>54722.344245646054</x:v>
      </x:c>
      <x:c r="R21" s="41" t="n">
        <x:f>O21*VLOOKUP(K21,'10_怪物秘境'!$A$18:$M$21,13,FALSE)</x:f>
        <x:v>0.6887125483996935</x:v>
      </x:c>
    </x:row>
    <x:row r="22">
      <x:c r="A22" s="36" t="str">
        <x:f>B22&amp;"|"&amp;C22</x:f>
        <x:v>秘境修士|10</x:v>
      </x:c>
      <x:c r="B22" s="30" t="str">
        <x:v>秘境修士</x:v>
      </x:c>
      <x:c r="C22" s="30" t="n">
        <x:v>10</x:v>
      </x:c>
      <x:c r="D22" s="36" t="str">
        <x:f>IF(C22&lt;=1,"粗制剑",IF(C22&lt;=10,"玄铁剑",IF(C22&lt;=30,"灵玉剑",IF(C22&lt;=90,"筑基飞剑","黑风剑"))))</x:f>
        <x:v>玄铁剑</x:v>
      </x:c>
      <x:c r="E22" s="36" t="str">
        <x:f>IF(C22&lt;=1,"布衣",IF(C22&lt;=10,"玄铁甲",IF(C22&lt;=30,"灵玉法袍","筑基战甲")))</x:f>
        <x:v>玄铁甲</x:v>
      </x:c>
      <x:c r="F22" s="36" t="str">
        <x:f>IF(C22&lt;=1,"",IF(C22&lt;=10,"青玉佩",IF(C22&lt;=30,"玄灵戒","筑基护符")))</x:f>
        <x:v>青玉佩</x:v>
      </x:c>
      <x:c r="G22" s="46" t="n">
        <x:f>IF(D22="",0,IFERROR(VLOOKUP(D22,'09_装备梯度'!$A$6:$N$30,12,FALSE),0))+IF(E22="",0,IFERROR(VLOOKUP(E22,'09_装备梯度'!$A$6:$N$30,12,FALSE),0))+IF(F22="",0,IFERROR(VLOOKUP(F22,'09_装备梯度'!$A$6:$N$30,12,FALSE),0))</x:f>
        <x:v>366</x:v>
      </x:c>
      <x:c r="H22" s="36" t="n">
        <x:f>IF(C22&lt;=1,0,IF(C22&lt;=10,2,IF(C22&lt;=30,4,IF(C22&lt;=90,6,IF(C22&lt;=180,8,10)))))</x:f>
        <x:v>2</x:v>
      </x:c>
      <x:c r="I22" s="68" t="n">
        <x:f>IF(H22=0,1,INDEX('13_淬炼成本'!$O$6:$O$15,H22))</x:f>
        <x:v>1.0868</x:v>
      </x:c>
      <x:c r="J22" s="46" t="n">
        <x:f>G22*I22*VLOOKUP(B22,'16_玩家成长模拟'!$A$6:$K$8,11,FALSE)</x:f>
        <x:v>497.211</x:v>
      </x:c>
      <x:c r="K22" s="46" t="str">
        <x:f>IF(C22&lt;=1,"青蛇洞",IF(C22&lt;=10,"玄铁秘窟",IF(C22&lt;=30,"黑风秘境","古修洞府")))</x:f>
        <x:v>玄铁秘窟</x:v>
      </x:c>
      <x:c r="L22" s="46" t="n">
        <x:f>VLOOKUP(K22,$T$6:$U$9,2,FALSE)</x:f>
        <x:v>450</x:v>
      </x:c>
      <x:c r="M22" s="91" t="n">
        <x:f>MIN('01_核心假设'!$B$50,MAX('01_核心假设'!$B$51,VLOOKUP(K22,'10_怪物秘境'!$A$18:$G$21,7,FALSE)*POWER(J22/L22,'01_核心假设'!$B$49)))</x:f>
        <x:v>0.8198958909520161</x:v>
      </x:c>
      <x:c r="N22" s="41" t="n">
        <x:f>C22*'01_核心假设'!$B$7/'01_核心假设'!$B$24*VLOOKUP(B22,'16_玩家成长模拟'!$A$6:$G$8,7,FALSE)</x:f>
        <x:v>20</x:v>
      </x:c>
      <x:c r="O22" s="41" t="n">
        <x:f>N22*M22</x:f>
        <x:v>16.397917819040323</x:v>
      </x:c>
      <x:c r="P22" s="41" t="n">
        <x:f>VLOOKUP(K22,'10_怪物秘境'!$A$18:$R$21,16,FALSE)*'01_核心假设'!$B$52</x:f>
        <x:v>4767.360000000001</x:v>
      </x:c>
      <x:c r="Q22" s="41" t="n">
        <x:f>O22*P22</x:f>
        <x:v>78174.77749378009</x:v>
      </x:c>
      <x:c r="R22" s="41" t="n">
        <x:f>O22*VLOOKUP(K22,'10_怪物秘境'!$A$18:$M$21,13,FALSE)</x:f>
        <x:v>0.9838750691424194</x:v>
      </x:c>
    </x:row>
    <x:row r="23">
      <x:c r="A23" s="36" t="str">
        <x:f>B23&amp;"|"&amp;C23</x:f>
        <x:v>秘境修士|30</x:v>
      </x:c>
      <x:c r="B23" s="30" t="str">
        <x:v>秘境修士</x:v>
      </x:c>
      <x:c r="C23" s="30" t="n">
        <x:v>30</x:v>
      </x:c>
      <x:c r="D23" s="36" t="str">
        <x:f>IF(C23&lt;=1,"粗制剑",IF(C23&lt;=10,"玄铁剑",IF(C23&lt;=30,"灵玉剑",IF(C23&lt;=90,"筑基飞剑","黑风剑"))))</x:f>
        <x:v>灵玉剑</x:v>
      </x:c>
      <x:c r="E23" s="36" t="str">
        <x:f>IF(C23&lt;=1,"布衣",IF(C23&lt;=10,"玄铁甲",IF(C23&lt;=30,"灵玉法袍","筑基战甲")))</x:f>
        <x:v>灵玉法袍</x:v>
      </x:c>
      <x:c r="F23" s="36" t="str">
        <x:f>IF(C23&lt;=1,"",IF(C23&lt;=10,"青玉佩",IF(C23&lt;=30,"玄灵戒","筑基护符")))</x:f>
        <x:v>玄灵戒</x:v>
      </x:c>
      <x:c r="G23" s="46" t="n">
        <x:f>IF(D23="",0,IFERROR(VLOOKUP(D23,'09_装备梯度'!$A$6:$N$30,12,FALSE),0))+IF(E23="",0,IFERROR(VLOOKUP(E23,'09_装备梯度'!$A$6:$N$30,12,FALSE),0))+IF(F23="",0,IFERROR(VLOOKUP(F23,'09_装备梯度'!$A$6:$N$30,12,FALSE),0))</x:f>
        <x:v>616</x:v>
      </x:c>
      <x:c r="H23" s="36" t="n">
        <x:f>IF(C23&lt;=1,0,IF(C23&lt;=10,2,IF(C23&lt;=30,4,IF(C23&lt;=90,6,IF(C23&lt;=180,8,10)))))</x:f>
        <x:v>4</x:v>
      </x:c>
      <x:c r="I23" s="68" t="n">
        <x:f>IF(H23=0,1,INDEX('13_淬炼成本'!$O$6:$O$15,H23))</x:f>
        <x:v>1.2039027</x:v>
      </x:c>
      <x:c r="J23" s="46" t="n">
        <x:f>G23*I23*VLOOKUP(B23,'16_玩家成长模拟'!$A$6:$K$8,11,FALSE)</x:f>
        <x:v>927.005079</x:v>
      </x:c>
      <x:c r="K23" s="46" t="str">
        <x:f>IF(C23&lt;=1,"青蛇洞",IF(C23&lt;=10,"玄铁秘窟",IF(C23&lt;=30,"黑风秘境","古修洞府")))</x:f>
        <x:v>黑风秘境</x:v>
      </x:c>
      <x:c r="L23" s="46" t="n">
        <x:f>VLOOKUP(K23,$T$6:$U$9,2,FALSE)</x:f>
        <x:v>700</x:v>
      </x:c>
      <x:c r="M23" s="91" t="n">
        <x:f>MIN('01_核心假设'!$B$50,MAX('01_核心假设'!$B$51,VLOOKUP(K23,'10_怪物秘境'!$A$18:$G$21,7,FALSE)*POWER(J23/L23,'01_核心假设'!$B$49)))</x:f>
        <x:v>0.7480065372876097</x:v>
      </x:c>
      <x:c r="N23" s="41" t="n">
        <x:f>C23*'01_核心假设'!$B$7/'01_核心假设'!$B$24*VLOOKUP(B23,'16_玩家成长模拟'!$A$6:$G$8,7,FALSE)</x:f>
        <x:v>60</x:v>
      </x:c>
      <x:c r="O23" s="41" t="n">
        <x:f>N23*M23</x:f>
        <x:v>44.88039223725658</x:v>
      </x:c>
      <x:c r="P23" s="41" t="n">
        <x:f>VLOOKUP(K23,'10_怪物秘境'!$A$18:$R$21,16,FALSE)*'01_核心假设'!$B$52</x:f>
        <x:v>7839</x:v>
      </x:c>
      <x:c r="Q23" s="41" t="n">
        <x:f>O23*P23</x:f>
        <x:v>351817.3947478543</x:v>
      </x:c>
      <x:c r="R23" s="41" t="n">
        <x:f>O23*VLOOKUP(K23,'10_怪物秘境'!$A$18:$M$21,13,FALSE)</x:f>
        <x:v>1.5708137283039805</x:v>
      </x:c>
    </x:row>
    <x:row r="24">
      <x:c r="A24" s="36" t="str">
        <x:f>B24&amp;"|"&amp;C24</x:f>
        <x:v>秘境修士|90</x:v>
      </x:c>
      <x:c r="B24" s="30" t="str">
        <x:v>秘境修士</x:v>
      </x:c>
      <x:c r="C24" s="30" t="n">
        <x:v>90</x:v>
      </x:c>
      <x:c r="D24" s="36" t="str">
        <x:f>IF(C24&lt;=1,"粗制剑",IF(C24&lt;=10,"玄铁剑",IF(C24&lt;=30,"灵玉剑",IF(C24&lt;=90,"筑基飞剑","黑风剑"))))</x:f>
        <x:v>筑基飞剑</x:v>
      </x:c>
      <x:c r="E24" s="36" t="str">
        <x:f>IF(C24&lt;=1,"布衣",IF(C24&lt;=10,"玄铁甲",IF(C24&lt;=30,"灵玉法袍","筑基战甲")))</x:f>
        <x:v>筑基战甲</x:v>
      </x:c>
      <x:c r="F24" s="36" t="str">
        <x:f>IF(C24&lt;=1,"",IF(C24&lt;=10,"青玉佩",IF(C24&lt;=30,"玄灵戒","筑基护符")))</x:f>
        <x:v>筑基护符</x:v>
      </x:c>
      <x:c r="G24" s="46" t="n">
        <x:f>IF(D24="",0,IFERROR(VLOOKUP(D24,'09_装备梯度'!$A$6:$N$30,12,FALSE),0))+IF(E24="",0,IFERROR(VLOOKUP(E24,'09_装备梯度'!$A$6:$N$30,12,FALSE),0))+IF(F24="",0,IFERROR(VLOOKUP(F24,'09_装备梯度'!$A$6:$N$30,12,FALSE),0))</x:f>
        <x:v>821</x:v>
      </x:c>
      <x:c r="H24" s="36" t="n">
        <x:f>IF(C24&lt;=1,0,IF(C24&lt;=10,2,IF(C24&lt;=30,4,IF(C24&lt;=90,6,IF(C24&lt;=180,8,10)))))</x:f>
        <x:v>6</x:v>
      </x:c>
      <x:c r="I24" s="68" t="n">
        <x:f>IF(H24=0,1,INDEX('13_淬炼成本'!$O$6:$O$15,H24))</x:f>
        <x:v>1.35908575803</x:v>
      </x:c>
      <x:c r="J24" s="46" t="n">
        <x:f>G24*I24*VLOOKUP(B24,'16_玩家成长模拟'!$A$6:$K$8,11,FALSE)</x:f>
        <x:v>1394.7617591782875</x:v>
      </x:c>
      <x:c r="K24" s="46" t="str">
        <x:f>IF(C24&lt;=1,"青蛇洞",IF(C24&lt;=10,"玄铁秘窟",IF(C24&lt;=30,"黑风秘境","古修洞府")))</x:f>
        <x:v>古修洞府</x:v>
      </x:c>
      <x:c r="L24" s="46" t="n">
        <x:f>VLOOKUP(K24,$T$6:$U$9,2,FALSE)</x:f>
        <x:v>1300</x:v>
      </x:c>
      <x:c r="M24" s="91" t="n">
        <x:f>MIN('01_核心假设'!$B$50,MAX('01_核心假设'!$B$51,VLOOKUP(K24,'10_怪物秘境'!$A$18:$G$21,7,FALSE)*POWER(J24/L24,'01_核心假设'!$B$49)))</x:f>
        <x:v>0.5696931914848364</x:v>
      </x:c>
      <x:c r="N24" s="41" t="n">
        <x:f>C24*'01_核心假设'!$B$7/'01_核心假设'!$B$24*VLOOKUP(B24,'16_玩家成长模拟'!$A$6:$G$8,7,FALSE)</x:f>
        <x:v>180</x:v>
      </x:c>
      <x:c r="O24" s="41" t="n">
        <x:f>N24*M24</x:f>
        <x:v>102.54477446727056</x:v>
      </x:c>
      <x:c r="P24" s="41" t="n">
        <x:f>VLOOKUP(K24,'10_怪物秘境'!$A$18:$R$21,16,FALSE)*'01_核心假设'!$B$52</x:f>
        <x:v>6479.000000000001</x:v>
      </x:c>
      <x:c r="Q24" s="41" t="n">
        <x:f>O24*P24</x:f>
        <x:v>664387.593773446</x:v>
      </x:c>
      <x:c r="R24" s="41" t="n">
        <x:f>O24*VLOOKUP(K24,'10_怪物秘境'!$A$18:$M$21,13,FALSE)</x:f>
        <x:v>6.152686468036233</x:v>
      </x:c>
    </x:row>
    <x:row r="25">
      <x:c r="A25" s="36" t="str">
        <x:f>B25&amp;"|"&amp;C25</x:f>
        <x:v>秘境修士|180</x:v>
      </x:c>
      <x:c r="B25" s="30" t="str">
        <x:v>秘境修士</x:v>
      </x:c>
      <x:c r="C25" s="30" t="n">
        <x:v>180</x:v>
      </x:c>
      <x:c r="D25" s="36" t="str">
        <x:f>IF(C25&lt;=1,"粗制剑",IF(C25&lt;=10,"玄铁剑",IF(C25&lt;=30,"灵玉剑",IF(C25&lt;=90,"筑基飞剑","黑风剑"))))</x:f>
        <x:v>黑风剑</x:v>
      </x:c>
      <x:c r="E25" s="36" t="str">
        <x:f>IF(C25&lt;=1,"布衣",IF(C25&lt;=10,"玄铁甲",IF(C25&lt;=30,"灵玉法袍","筑基战甲")))</x:f>
        <x:v>筑基战甲</x:v>
      </x:c>
      <x:c r="F25" s="36" t="str">
        <x:f>IF(C25&lt;=1,"",IF(C25&lt;=10,"青玉佩",IF(C25&lt;=30,"玄灵戒","筑基护符")))</x:f>
        <x:v>筑基护符</x:v>
      </x:c>
      <x:c r="G25" s="46" t="n">
        <x:f>IF(D25="",0,IFERROR(VLOOKUP(D25,'09_装备梯度'!$A$6:$N$30,12,FALSE),0))+IF(E25="",0,IFERROR(VLOOKUP(E25,'09_装备梯度'!$A$6:$N$30,12,FALSE),0))+IF(F25="",0,IFERROR(VLOOKUP(F25,'09_装备梯度'!$A$6:$N$30,12,FALSE),0))</x:f>
        <x:v>925</x:v>
      </x:c>
      <x:c r="H25" s="36" t="n">
        <x:f>IF(C25&lt;=1,0,IF(C25&lt;=10,2,IF(C25&lt;=30,4,IF(C25&lt;=90,6,IF(C25&lt;=180,8,10)))))</x:f>
        <x:v>8</x:v>
      </x:c>
      <x:c r="I25" s="68" t="n">
        <x:f>IF(H25=0,1,INDEX('13_淬炼成本'!$O$6:$O$15,H25))</x:f>
        <x:v>1.5632883931740074</x:v>
      </x:c>
      <x:c r="J25" s="46" t="n">
        <x:f>G25*I25*VLOOKUP(B25,'16_玩家成长模拟'!$A$6:$K$8,11,FALSE)</x:f>
        <x:v>1807.552204607446</x:v>
      </x:c>
      <x:c r="K25" s="46" t="str">
        <x:f>IF(C25&lt;=1,"青蛇洞",IF(C25&lt;=10,"玄铁秘窟",IF(C25&lt;=30,"黑风秘境","古修洞府")))</x:f>
        <x:v>古修洞府</x:v>
      </x:c>
      <x:c r="L25" s="46" t="n">
        <x:f>VLOOKUP(K25,$T$6:$U$9,2,FALSE)</x:f>
        <x:v>1300</x:v>
      </x:c>
      <x:c r="M25" s="91" t="n">
        <x:f>MIN('01_核心假设'!$B$50,MAX('01_核心假设'!$B$51,VLOOKUP(K25,'10_怪物秘境'!$A$18:$G$21,7,FALSE)*POWER(J25/L25,'01_核心假设'!$B$49)))</x:f>
        <x:v>0.6485395082525234</x:v>
      </x:c>
      <x:c r="N25" s="41" t="n">
        <x:f>C25*'01_核心假设'!$B$7/'01_核心假设'!$B$24*VLOOKUP(B25,'16_玩家成长模拟'!$A$6:$G$8,7,FALSE)</x:f>
        <x:v>360</x:v>
      </x:c>
      <x:c r="O25" s="41" t="n">
        <x:f>N25*M25</x:f>
        <x:v>233.47422297090841</x:v>
      </x:c>
      <x:c r="P25" s="41" t="n">
        <x:f>VLOOKUP(K25,'10_怪物秘境'!$A$18:$R$21,16,FALSE)*'01_核心假设'!$B$52</x:f>
        <x:v>6479.000000000001</x:v>
      </x:c>
      <x:c r="Q25" s="41" t="n">
        <x:f>O25*P25</x:f>
        <x:v>1512679.4906285158</x:v>
      </x:c>
      <x:c r="R25" s="41" t="n">
        <x:f>O25*VLOOKUP(K25,'10_怪物秘境'!$A$18:$M$21,13,FALSE)</x:f>
        <x:v>14.008453378254504</x:v>
      </x:c>
    </x:row>
    <x:row r="26">
      <x:c r="A26" s="37" t="str">
        <x:f>B26&amp;"|"&amp;C26</x:f>
        <x:v>秘境修士|365</x:v>
      </x:c>
      <x:c r="B26" s="31" t="str">
        <x:v>秘境修士</x:v>
      </x:c>
      <x:c r="C26" s="31" t="n">
        <x:v>365</x:v>
      </x:c>
      <x:c r="D26" s="37" t="str">
        <x:f>IF(C26&lt;=1,"粗制剑",IF(C26&lt;=10,"玄铁剑",IF(C26&lt;=30,"灵玉剑",IF(C26&lt;=90,"筑基飞剑","黑风剑"))))</x:f>
        <x:v>黑风剑</x:v>
      </x:c>
      <x:c r="E26" s="37" t="str">
        <x:f>IF(C26&lt;=1,"布衣",IF(C26&lt;=10,"玄铁甲",IF(C26&lt;=30,"灵玉法袍","筑基战甲")))</x:f>
        <x:v>筑基战甲</x:v>
      </x:c>
      <x:c r="F26" s="37" t="str">
        <x:f>IF(C26&lt;=1,"",IF(C26&lt;=10,"青玉佩",IF(C26&lt;=30,"玄灵戒","筑基护符")))</x:f>
        <x:v>筑基护符</x:v>
      </x:c>
      <x:c r="G26" s="48" t="n">
        <x:f>IF(D26="",0,IFERROR(VLOOKUP(D26,'09_装备梯度'!$A$6:$N$30,12,FALSE),0))+IF(E26="",0,IFERROR(VLOOKUP(E26,'09_装备梯度'!$A$6:$N$30,12,FALSE),0))+IF(F26="",0,IFERROR(VLOOKUP(F26,'09_装备梯度'!$A$6:$N$30,12,FALSE),0))</x:f>
        <x:v>925</x:v>
      </x:c>
      <x:c r="H26" s="37" t="n">
        <x:f>IF(C26&lt;=1,0,IF(C26&lt;=10,2,IF(C26&lt;=30,4,IF(C26&lt;=90,6,IF(C26&lt;=180,8,10)))))</x:f>
        <x:v>10</x:v>
      </x:c>
      <x:c r="I26" s="69" t="n">
        <x:f>IF(H26=0,1,INDEX('13_淬炼成本'!$O$6:$O$15,H26))</x:f>
        <x:v>1.831861339121302</x:v>
      </x:c>
      <x:c r="J26" s="48" t="n">
        <x:f>G26*I26*VLOOKUP(B26,'16_玩家成长模拟'!$A$6:$K$8,11,FALSE)</x:f>
        <x:v>2118.0896733590052</x:v>
      </x:c>
      <x:c r="K26" s="48" t="str">
        <x:f>IF(C26&lt;=1,"青蛇洞",IF(C26&lt;=10,"玄铁秘窟",IF(C26&lt;=30,"黑风秘境","古修洞府")))</x:f>
        <x:v>古修洞府</x:v>
      </x:c>
      <x:c r="L26" s="48" t="n">
        <x:f>VLOOKUP(K26,$T$6:$U$9,2,FALSE)</x:f>
        <x:v>1300</x:v>
      </x:c>
      <x:c r="M26" s="92" t="n">
        <x:f>MIN('01_核心假设'!$B$50,MAX('01_核心假设'!$B$51,VLOOKUP(K26,'10_怪物秘境'!$A$18:$G$21,7,FALSE)*POWER(J26/L26,'01_核心假设'!$B$49)))</x:f>
        <x:v>0.7020421454536424</x:v>
      </x:c>
      <x:c r="N26" s="43" t="n">
        <x:f>C26*'01_核心假设'!$B$7/'01_核心假设'!$B$24*VLOOKUP(B26,'16_玩家成长模拟'!$A$6:$G$8,7,FALSE)</x:f>
        <x:v>730</x:v>
      </x:c>
      <x:c r="O26" s="43" t="n">
        <x:f>N26*M26</x:f>
        <x:v>512.490766181159</x:v>
      </x:c>
      <x:c r="P26" s="43" t="n">
        <x:f>VLOOKUP(K26,'10_怪物秘境'!$A$18:$R$21,16,FALSE)*'01_核心假设'!$B$52</x:f>
        <x:v>6479.000000000001</x:v>
      </x:c>
      <x:c r="Q26" s="43" t="n">
        <x:f>O26*P26</x:f>
        <x:v>3320427.6740877293</x:v>
      </x:c>
      <x:c r="R26" s="43" t="n">
        <x:f>O26*VLOOKUP(K26,'10_怪物秘境'!$A$18:$M$21,13,FALSE)</x:f>
        <x:v>30.749445970869537</x:v>
      </x:c>
    </x:row>
  </x:sheetData>
  <x:mergeCells>
    <x:mergeCell ref="A1:R1"/>
    <x:mergeCell ref="A2:R3"/>
  </x:mergeCells>
  <x:conditionalFormatting sqref="M6:M26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5" hidden="0" customWidth="1"/>
    <x:col min="4" max="4" width="15" hidden="0" customWidth="1"/>
    <x:col min="5" max="5" width="12" hidden="0" customWidth="1"/>
    <x:col min="6" max="6" width="34" hidden="0" customWidth="1"/>
    <x:col min="8" max="8" width="14" hidden="0" customWidth="1"/>
    <x:col min="9" max="9" width="16" hidden="0" customWidth="1"/>
  </x:cols>
  <x:sheetData>
    <x:row r="1" ht="30" customHeight="1">
      <x:c r="A1" s="3" t="str">
        <x:v>V0.1 平衡检查与完成标准</x:v>
      </x:c>
      <x:c r="B1" s="3" t="str">
        <x:v>V0.1 平衡检查与完成标准</x:v>
      </x:c>
      <x:c r="C1" s="3" t="str">
        <x:v>V0.1 平衡检查与完成标准</x:v>
      </x:c>
      <x:c r="D1" s="3" t="str">
        <x:v>V0.1 平衡检查与完成标准</x:v>
      </x:c>
      <x:c r="E1" s="3" t="str">
        <x:v>V0.1 平衡检查与完成标准</x:v>
      </x:c>
      <x:c r="F1" s="3" t="str">
        <x:v>V0.1 平衡检查与完成标准</x:v>
      </x:c>
    </x:row>
    <x:row r="2">
      <x:c r="A2" s="7" t="str">
        <x:v>只有关键体验、经济与成长指标同时落入目标区间，数值母表才视为可交付。所有当前值和状态均为公式结果。</x:v>
      </x:c>
      <x:c r="B2" s="7" t="str">
        <x:v>只有关键体验、经济与成长指标同时落入目标区间，数值母表才视为可交付。所有当前值和状态均为公式结果。</x:v>
      </x:c>
      <x:c r="C2" s="7" t="str">
        <x:v>只有关键体验、经济与成长指标同时落入目标区间，数值母表才视为可交付。所有当前值和状态均为公式结果。</x:v>
      </x:c>
      <x:c r="D2" s="7" t="str">
        <x:v>只有关键体验、经济与成长指标同时落入目标区间，数值母表才视为可交付。所有当前值和状态均为公式结果。</x:v>
      </x:c>
      <x:c r="E2" s="7" t="str">
        <x:v>只有关键体验、经济与成长指标同时落入目标区间，数值母表才视为可交付。所有当前值和状态均为公式结果。</x:v>
      </x:c>
      <x:c r="F2" s="7" t="str">
        <x:v>只有关键体验、经济与成长指标同时落入目标区间，数值母表才视为可交付。所有当前值和状态均为公式结果。</x:v>
      </x:c>
    </x:row>
    <x:row r="3">
      <x:c r="A3" s="7" t="str">
        <x:v>只有关键体验、经济与成长指标同时落入目标区间，数值母表才视为可交付。所有当前值和状态均为公式结果。</x:v>
      </x:c>
      <x:c r="B3" s="7" t="str">
        <x:v>只有关键体验、经济与成长指标同时落入目标区间，数值母表才视为可交付。所有当前值和状态均为公式结果。</x:v>
      </x:c>
      <x:c r="C3" s="7" t="str">
        <x:v>只有关键体验、经济与成长指标同时落入目标区间，数值母表才视为可交付。所有当前值和状态均为公式结果。</x:v>
      </x:c>
      <x:c r="D3" s="7" t="str">
        <x:v>只有关键体验、经济与成长指标同时落入目标区间，数值母表才视为可交付。所有当前值和状态均为公式结果。</x:v>
      </x:c>
      <x:c r="E3" s="7" t="str">
        <x:v>只有关键体验、经济与成长指标同时落入目标区间，数值母表才视为可交付。所有当前值和状态均为公式结果。</x:v>
      </x:c>
      <x:c r="F3" s="7" t="str">
        <x:v>只有关键体验、经济与成长指标同时落入目标区间，数值母表才视为可交付。所有当前值和状态均为公式结果。</x:v>
      </x:c>
    </x:row>
    <x:row r="5" ht="28" customHeight="1">
      <x:c r="A5" s="19" t="str">
        <x:v>检查项</x:v>
      </x:c>
      <x:c r="B5" s="20" t="str">
        <x:v>当前值</x:v>
      </x:c>
      <x:c r="C5" s="20" t="str">
        <x:v>下限/目标</x:v>
      </x:c>
      <x:c r="D5" s="20" t="str">
        <x:v>上限</x:v>
      </x:c>
      <x:c r="E5" s="20" t="str">
        <x:v>状态</x:v>
      </x:c>
      <x:c r="F5" s="21" t="str">
        <x:v>设计意义</x:v>
      </x:c>
      <x:c r="H5" s="19" t="str">
        <x:v>完成度</x:v>
      </x:c>
      <x:c r="I5" s="21" t="str">
        <x:v>结果</x:v>
      </x:c>
    </x:row>
    <x:row r="6">
      <x:c r="A6" s="26" t="str">
        <x:v>Day7境界阶段</x:v>
      </x:c>
      <x:c r="B6" s="35" t="str">
        <x:f>'16_玩家成长模拟'!M13</x:f>
        <x:v>炼气大圆满</x:v>
      </x:c>
      <x:c r="C6" s="29" t="str">
        <x:v>炼气大圆满</x:v>
      </x:c>
      <x:c r="D6" s="29" t="str">
        <x:v>炼气大圆满</x:v>
      </x:c>
      <x:c r="E6" s="85" t="str">
        <x:f>IF(B6=C6,"通过","检查")</x:f>
        <x:v>通过</x:v>
      </x:c>
      <x:c r="F6" s="26" t="str">
        <x:v>新手毕业前准备</x:v>
      </x:c>
      <x:c r="H6" t="str">
        <x:v>通过项</x:v>
      </x:c>
      <x:c r="I6" s="75" t="n">
        <x:f>COUNTIF(E6:E18,"通过")</x:f>
        <x:v>13</x:v>
      </x:c>
    </x:row>
    <x:row r="7">
      <x:c r="A7" s="27" t="str">
        <x:v>Day10进入筑基</x:v>
      </x:c>
      <x:c r="B7" s="36" t="str">
        <x:f>LEFT('16_玩家成长模拟'!M14,2)</x:f>
        <x:v>筑基</x:v>
      </x:c>
      <x:c r="C7" s="30" t="str">
        <x:v>筑基</x:v>
      </x:c>
      <x:c r="D7" s="30" t="str">
        <x:v>筑基</x:v>
      </x:c>
      <x:c r="E7" s="44" t="str">
        <x:f>IF(B7=C7,"通过","检查")</x:f>
        <x:v>通过</x:v>
      </x:c>
      <x:c r="F7" s="27" t="str">
        <x:v>Day7～14完成第一次大突破</x:v>
      </x:c>
      <x:c r="H7" t="str">
        <x:v>检查项</x:v>
      </x:c>
      <x:c r="I7" s="75" t="n">
        <x:f>COUNTIF(E6:E18,"检查")</x:f>
        <x:v>0</x:v>
      </x:c>
    </x:row>
    <x:row r="8">
      <x:c r="A8" s="27" t="str">
        <x:v>Day30主动收益占比</x:v>
      </x:c>
      <x:c r="B8" s="62" t="n">
        <x:f>'16_玩家成长模拟'!Q15</x:f>
        <x:v>0.30362330218745887</x:v>
      </x:c>
      <x:c r="C8" s="62" t="n">
        <x:f>'01_核心假设'!B55</x:f>
        <x:v>0.25</x:v>
      </x:c>
      <x:c r="D8" s="62" t="n">
        <x:f>'01_核心假设'!B56</x:f>
        <x:v>0.35</x:v>
      </x:c>
      <x:c r="E8" s="44" t="str">
        <x:f>IF(AND(B8&gt;=C8,B8&lt;=D8),"通过","检查")</x:f>
        <x:v>通过</x:v>
      </x:c>
      <x:c r="F8" s="27" t="str">
        <x:v>挂机/主动双循环</x:v>
      </x:c>
      <x:c r="H8" t="str">
        <x:v>通过率</x:v>
      </x:c>
      <x:c r="I8" s="93" t="n">
        <x:f>I6/COUNTA(E6:E18)</x:f>
        <x:v>1</x:v>
      </x:c>
    </x:row>
    <x:row r="9">
      <x:c r="A9" s="27" t="str">
        <x:v>Sink/Faucet比例</x:v>
      </x:c>
      <x:c r="B9" s="62" t="n">
        <x:f>'15_Faucet_Sink'!B23/'15_Faucet_Sink'!B22</x:f>
        <x:v>0.8648809523809524</x:v>
      </x:c>
      <x:c r="C9" s="62" t="n">
        <x:f>'01_核心假设'!B53</x:f>
        <x:v>0.75</x:v>
      </x:c>
      <x:c r="D9" s="62" t="n">
        <x:f>'01_核心假设'!B54</x:f>
        <x:v>1</x:v>
      </x:c>
      <x:c r="E9" s="44" t="str">
        <x:f>IF(AND(B9&gt;=C9,B9&lt;=D9),"通过","检查")</x:f>
        <x:v>通过</x:v>
      </x:c>
      <x:c r="F9" s="27" t="str">
        <x:v>服务器经济回收</x:v>
      </x:c>
      <x:c r="H9" t="str">
        <x:v>结论</x:v>
      </x:c>
      <x:c r="I9" s="75" t="str">
        <x:f>IF(I7=0,"V0.1完成","继续校准")</x:f>
        <x:v>V0.1完成</x:v>
      </x:c>
    </x:row>
    <x:row r="10">
      <x:c r="A10" s="27" t="str">
        <x:v>T1采集价值指数</x:v>
      </x:c>
      <x:c r="B10" s="36" t="n">
        <x:f>AVERAGE('05_采集行动'!V6,'05_采集行动'!V10)</x:f>
        <x:v>1.0465329600000002</x:v>
      </x:c>
      <x:c r="C10" s="30" t="n">
        <x:v>0.8</x:v>
      </x:c>
      <x:c r="D10" s="30" t="n">
        <x:v>1.2</x:v>
      </x:c>
      <x:c r="E10" s="44" t="str">
        <x:f>IF(AND(B10&gt;=C10,B10&lt;=D10),"通过","检查")</x:f>
        <x:v>通过</x:v>
      </x:c>
      <x:c r="F10" s="27" t="str">
        <x:v>基础时间价值锚</x:v>
      </x:c>
    </x:row>
    <x:row r="11">
      <x:c r="A11" s="27" t="str">
        <x:v>MVP采集最高价值指数</x:v>
      </x:c>
      <x:c r="B11" s="36" t="n">
        <x:f>MAX('05_采集行动'!V6:V13)</x:f>
        <x:v>11.782324800000001</x:v>
      </x:c>
      <x:c r="C11" s="30" t="n">
        <x:v>1</x:v>
      </x:c>
      <x:c r="D11" s="30" t="n">
        <x:v>12</x:v>
      </x:c>
      <x:c r="E11" s="44" t="str">
        <x:f>IF(AND(B11&gt;=C11,B11&lt;=D11),"通过","检查")</x:f>
        <x:v>通过</x:v>
      </x:c>
      <x:c r="F11" s="27" t="str">
        <x:v>Tier成长但不指数爆炸</x:v>
      </x:c>
    </x:row>
    <x:row r="12">
      <x:c r="A12" s="27" t="str">
        <x:v>炼丹最高利润指数</x:v>
      </x:c>
      <x:c r="B12" s="36" t="n">
        <x:f>MAX('06_炼丹配方'!W6:W14)/'01_核心假设'!B14</x:f>
        <x:v>2.837237760000001</x:v>
      </x:c>
      <x:c r="C12" s="30" t="n">
        <x:v>0.5</x:v>
      </x:c>
      <x:c r="D12" s="30" t="n">
        <x:v>3.5</x:v>
      </x:c>
      <x:c r="E12" s="44" t="str">
        <x:f>IF(AND(B12&gt;=C12,B12&lt;=D12),"通过","检查")</x:f>
        <x:v>通过</x:v>
      </x:c>
      <x:c r="F12" s="27" t="str">
        <x:v>专业化有价值但不垄断</x:v>
      </x:c>
    </x:row>
    <x:row r="13">
      <x:c r="A13" s="27" t="str">
        <x:v>青铜药锄回本小时</x:v>
      </x:c>
      <x:c r="B13" s="36" t="n">
        <x:f>'08_工具梯度'!M7</x:f>
        <x:v>7.954545454545448</x:v>
      </x:c>
      <x:c r="C13" s="30" t="n">
        <x:v>2</x:v>
      </x:c>
      <x:c r="D13" s="30" t="n">
        <x:v>12</x:v>
      </x:c>
      <x:c r="E13" s="44" t="str">
        <x:f>IF(AND(B13&gt;=C13,B13&lt;=D13),"通过","检查")</x:f>
        <x:v>通过</x:v>
      </x:c>
      <x:c r="F13" s="27" t="str">
        <x:v>早期工具有清晰目标</x:v>
      </x:c>
    </x:row>
    <x:row r="14">
      <x:c r="A14" s="27" t="str">
        <x:v>筑基总成本劳动小时</x:v>
      </x:c>
      <x:c r="B14" s="36" t="n">
        <x:f>'11_突破成本'!P7/'01_核心假设'!B14</x:f>
        <x:v>37.3</x:v>
      </x:c>
      <x:c r="C14" s="30" t="n">
        <x:v>10</x:v>
      </x:c>
      <x:c r="D14" s="30" t="n">
        <x:v>80</x:v>
      </x:c>
      <x:c r="E14" s="44" t="str">
        <x:f>IF(AND(B14&gt;=C14,B14&lt;=D14),"通过","检查")</x:f>
        <x:v>通过</x:v>
      </x:c>
      <x:c r="F14" s="27" t="str">
        <x:v>突破是项目而非点击</x:v>
      </x:c>
    </x:row>
    <x:row r="15">
      <x:c r="A15" s="27" t="str">
        <x:v>Day30筑基综合准备度</x:v>
      </x:c>
      <x:c r="B15" s="62" t="n">
        <x:f>'17_资源突破模拟'!O9</x:f>
        <x:v>1</x:v>
      </x:c>
      <x:c r="C15" s="30" t="n">
        <x:v>1</x:v>
      </x:c>
      <x:c r="D15" s="30" t="n">
        <x:v>1</x:v>
      </x:c>
      <x:c r="E15" s="44" t="str">
        <x:f>IF(AND(B15&gt;=C15,B15&lt;=D15),"通过","检查")</x:f>
        <x:v>通过</x:v>
      </x:c>
      <x:c r="F15" s="27" t="str">
        <x:v>修为/材料/资产共同满足</x:v>
      </x:c>
    </x:row>
    <x:row r="16">
      <x:c r="A16" s="27" t="str">
        <x:v>Day7秘境成功率</x:v>
      </x:c>
      <x:c r="B16" s="62" t="n">
        <x:f>'18_战力秘境模拟'!M7</x:f>
        <x:v>0.733337178656585</x:v>
      </x:c>
      <x:c r="C16" s="30" t="n">
        <x:v>0.55</x:v>
      </x:c>
      <x:c r="D16" s="30" t="n">
        <x:v>0.9</x:v>
      </x:c>
      <x:c r="E16" s="44" t="str">
        <x:f>IF(AND(B16&gt;=C16,B16&lt;=D16),"通过","检查")</x:f>
        <x:v>通过</x:v>
      </x:c>
      <x:c r="F16" s="27" t="str">
        <x:v>准备有效且允许挑战</x:v>
      </x:c>
    </x:row>
    <x:row r="17">
      <x:c r="A17" s="27" t="str">
        <x:v>基础离线容量</x:v>
      </x:c>
      <x:c r="B17" s="36" t="n">
        <x:f>'01_核心假设'!B9</x:f>
        <x:v>10</x:v>
      </x:c>
      <x:c r="C17" s="30" t="n">
        <x:v>8</x:v>
      </x:c>
      <x:c r="D17" s="30" t="n">
        <x:v>12</x:v>
      </x:c>
      <x:c r="E17" s="44" t="str">
        <x:f>IF(AND(B17&gt;=C17,B17&lt;=D17),"通过","检查")</x:f>
        <x:v>通过</x:v>
      </x:c>
      <x:c r="F17" s="27" t="str">
        <x:v>每天早晚查看即可</x:v>
      </x:c>
    </x:row>
    <x:row r="18">
      <x:c r="A18" s="28" t="str">
        <x:v>Day1在线小时</x:v>
      </x:c>
      <x:c r="B18" s="37" t="n">
        <x:f>'16_玩家成长模拟'!D12</x:f>
        <x:v>0.8333333333333334</x:v>
      </x:c>
      <x:c r="C18" s="31" t="n">
        <x:v>0.5</x:v>
      </x:c>
      <x:c r="D18" s="31" t="n">
        <x:v>1.5</x:v>
      </x:c>
      <x:c r="E18" s="86" t="str">
        <x:f>IF(AND(B18&gt;=C18,B18&lt;=D18),"通过","检查")</x:f>
        <x:v>通过</x:v>
      </x:c>
      <x:c r="F18" s="28" t="str">
        <x:v>上线有事做但不绑架时间</x:v>
      </x:c>
    </x:row>
  </x:sheetData>
  <x:mergeCells>
    <x:mergeCell ref="A1:F1"/>
    <x:mergeCell ref="A2:F3"/>
  </x:mergeCells>
  <x:conditionalFormatting sqref="E6:E18">
    <x:cfRule type="containsText" dxfId="0" priority="1" operator="containsText" text="检查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2" hidden="0" customWidth="1"/>
    <x:col min="4" max="4" width="26" hidden="0" customWidth="1"/>
    <x:col min="6" max="6" width="18" hidden="0" customWidth="1"/>
    <x:col min="7" max="7" width="32" hidden="0" customWidth="1"/>
    <x:col min="8" max="8" width="34" hidden="0" customWidth="1"/>
  </x:cols>
  <x:sheetData>
    <x:row r="1" ht="30" customHeight="1">
      <x:c r="A1" s="3" t="str">
        <x:v>Numerical Master Sheet V0.1｜版本说明与使用指南</x:v>
      </x:c>
      <x:c r="B1" s="3" t="str">
        <x:v>Numerical Master Sheet V0.1｜版本说明与使用指南</x:v>
      </x:c>
      <x:c r="C1" s="3" t="str">
        <x:v>Numerical Master Sheet V0.1｜版本说明与使用指南</x:v>
      </x:c>
      <x:c r="D1" s="3" t="str">
        <x:v>Numerical Master Sheet V0.1｜版本说明与使用指南</x:v>
      </x:c>
      <x:c r="E1" s="3" t="str">
        <x:v>Numerical Master Sheet V0.1｜版本说明与使用指南</x:v>
      </x:c>
      <x:c r="F1" s="3" t="str">
        <x:v>Numerical Master Sheet V0.1｜版本说明与使用指南</x:v>
      </x:c>
      <x:c r="G1" s="3" t="str">
        <x:v>Numerical Master Sheet V0.1｜版本说明与使用指南</x:v>
      </x:c>
      <x:c r="H1" s="3" t="str">
        <x:v>Numerical Master Sheet V0.1｜版本说明与使用指南</x:v>
      </x:c>
    </x:row>
    <x:row r="2">
      <x:c r="A2" s="7" t="str">
        <x:v>本工作簿是GDD V0.1的第一套可执行数值模型。它用于提出、联动和验证设计假设，不替代Alpha真实玩家数据。</x:v>
      </x:c>
      <x:c r="B2" s="7" t="str">
        <x:v>本工作簿是GDD V0.1的第一套可执行数值模型。它用于提出、联动和验证设计假设，不替代Alpha真实玩家数据。</x:v>
      </x:c>
      <x:c r="C2" s="7" t="str">
        <x:v>本工作簿是GDD V0.1的第一套可执行数值模型。它用于提出、联动和验证设计假设，不替代Alpha真实玩家数据。</x:v>
      </x:c>
      <x:c r="D2" s="7" t="str">
        <x:v>本工作簿是GDD V0.1的第一套可执行数值模型。它用于提出、联动和验证设计假设，不替代Alpha真实玩家数据。</x:v>
      </x:c>
      <x:c r="E2" s="7" t="str">
        <x:v>本工作簿是GDD V0.1的第一套可执行数值模型。它用于提出、联动和验证设计假设，不替代Alpha真实玩家数据。</x:v>
      </x:c>
      <x:c r="F2" s="7" t="str">
        <x:v>本工作簿是GDD V0.1的第一套可执行数值模型。它用于提出、联动和验证设计假设，不替代Alpha真实玩家数据。</x:v>
      </x:c>
      <x:c r="G2" s="7" t="str">
        <x:v>本工作簿是GDD V0.1的第一套可执行数值模型。它用于提出、联动和验证设计假设，不替代Alpha真实玩家数据。</x:v>
      </x:c>
      <x:c r="H2" s="7" t="str">
        <x:v>本工作簿是GDD V0.1的第一套可执行数值模型。它用于提出、联动和验证设计假设，不替代Alpha真实玩家数据。</x:v>
      </x:c>
    </x:row>
    <x:row r="3">
      <x:c r="A3" s="7" t="str">
        <x:v>本工作簿是GDD V0.1的第一套可执行数值模型。它用于提出、联动和验证设计假设，不替代Alpha真实玩家数据。</x:v>
      </x:c>
      <x:c r="B3" s="7" t="str">
        <x:v>本工作簿是GDD V0.1的第一套可执行数值模型。它用于提出、联动和验证设计假设，不替代Alpha真实玩家数据。</x:v>
      </x:c>
      <x:c r="C3" s="7" t="str">
        <x:v>本工作簿是GDD V0.1的第一套可执行数值模型。它用于提出、联动和验证设计假设，不替代Alpha真实玩家数据。</x:v>
      </x:c>
      <x:c r="D3" s="7" t="str">
        <x:v>本工作簿是GDD V0.1的第一套可执行数值模型。它用于提出、联动和验证设计假设，不替代Alpha真实玩家数据。</x:v>
      </x:c>
      <x:c r="E3" s="7" t="str">
        <x:v>本工作簿是GDD V0.1的第一套可执行数值模型。它用于提出、联动和验证设计假设，不替代Alpha真实玩家数据。</x:v>
      </x:c>
      <x:c r="F3" s="7" t="str">
        <x:v>本工作簿是GDD V0.1的第一套可执行数值模型。它用于提出、联动和验证设计假设，不替代Alpha真实玩家数据。</x:v>
      </x:c>
      <x:c r="G3" s="7" t="str">
        <x:v>本工作簿是GDD V0.1的第一套可执行数值模型。它用于提出、联动和验证设计假设，不替代Alpha真实玩家数据。</x:v>
      </x:c>
      <x:c r="H3" s="7" t="str">
        <x:v>本工作簿是GDD V0.1的第一套可执行数值模型。它用于提出、联动和验证设计假设，不替代Alpha真实玩家数据。</x:v>
      </x:c>
    </x:row>
    <x:row r="5" ht="28" customHeight="1">
      <x:c r="A5" s="19" t="str">
        <x:v>版本信息</x:v>
      </x:c>
      <x:c r="B5" s="21" t="str">
        <x:v>内容</x:v>
      </x:c>
      <x:c r="F5" s="19" t="str">
        <x:v>编辑顺序</x:v>
      </x:c>
      <x:c r="G5" s="20" t="str">
        <x:v>操作</x:v>
      </x:c>
      <x:c r="H5" s="21" t="str">
        <x:v>原则</x:v>
      </x:c>
    </x:row>
    <x:row r="6">
      <x:c r="A6" s="26" t="str">
        <x:v>版本</x:v>
      </x:c>
      <x:c r="B6" s="26" t="str">
        <x:v>V0.1 Final</x:v>
      </x:c>
      <x:c r="F6" s="26" t="n">
        <x:v>1</x:v>
      </x:c>
      <x:c r="G6" s="26" t="str">
        <x:v>先改核心假设</x:v>
      </x:c>
      <x:c r="H6" s="26" t="str">
        <x:v>不要直接覆盖蓝色公式</x:v>
      </x:c>
    </x:row>
    <x:row r="7">
      <x:c r="A7" s="27" t="str">
        <x:v>日期</x:v>
      </x:c>
      <x:c r="B7" s="27" t="str">
        <x:v>2026-08-15</x:v>
      </x:c>
      <x:c r="F7" s="27" t="n">
        <x:v>2</x:v>
      </x:c>
      <x:c r="G7" s="27" t="str">
        <x:v>调整内容表黄色输入</x:v>
      </x:c>
      <x:c r="H7" s="27" t="str">
        <x:v>行动/配方/价格/成本</x:v>
      </x:c>
    </x:row>
    <x:row r="8">
      <x:c r="A8" s="27" t="str">
        <x:v>MVP范围</x:v>
      </x:c>
      <x:c r="B8" s="27" t="str">
        <x:v>凡人 / 炼气 / 筑基</x:v>
      </x:c>
      <x:c r="F8" s="27" t="n">
        <x:v>3</x:v>
      </x:c>
      <x:c r="G8" s="27" t="str">
        <x:v>查看玩家成长模拟</x:v>
      </x:c>
      <x:c r="H8" s="27" t="str">
        <x:v>确认阶段节奏</x:v>
      </x:c>
    </x:row>
    <x:row r="9">
      <x:c r="A9" s="27" t="str">
        <x:v>扩展锚点</x:v>
      </x:c>
      <x:c r="B9" s="27" t="str">
        <x:v>金丹 / 元婴 / 化神</x:v>
      </x:c>
      <x:c r="F9" s="27" t="n">
        <x:v>4</x:v>
      </x:c>
      <x:c r="G9" s="27" t="str">
        <x:v>查看资源与战力模拟</x:v>
      </x:c>
      <x:c r="H9" s="27" t="str">
        <x:v>确认突破和秘境闭环</x:v>
      </x:c>
    </x:row>
    <x:row r="10">
      <x:c r="A10" s="27" t="str">
        <x:v>核心循环</x:v>
      </x:c>
      <x:c r="B10" s="27" t="str">
        <x:v>挂机稳定积累 + 在线秘境决策</x:v>
      </x:c>
      <x:c r="F10" s="27" t="n">
        <x:v>5</x:v>
      </x:c>
      <x:c r="G10" s="27" t="str">
        <x:v>查看平衡检查</x:v>
      </x:c>
      <x:c r="H10" s="27" t="str">
        <x:v>所有检查应通过</x:v>
      </x:c>
    </x:row>
    <x:row r="11">
      <x:c r="A11" s="28" t="str">
        <x:v>完成定义</x:v>
      </x:c>
      <x:c r="B11" s="28" t="str">
        <x:v>公式无错误、关键平衡检查通过、全表视觉可读</x:v>
      </x:c>
      <x:c r="F11" s="28" t="n">
        <x:v>6</x:v>
      </x:c>
      <x:c r="G11" s="28" t="str">
        <x:v>用Alpha数据替换假设</x:v>
      </x:c>
      <x:c r="H11" s="28" t="str">
        <x:v>保留版本记录</x:v>
      </x:c>
    </x:row>
    <x:row r="13" ht="28" customHeight="1">
      <x:c r="A13" s="19" t="str">
        <x:v>工作表</x:v>
      </x:c>
      <x:c r="B13" s="20" t="str">
        <x:v>职责</x:v>
      </x:c>
      <x:c r="C13" s="20" t="str">
        <x:v>主要输入</x:v>
      </x:c>
      <x:c r="D13" s="21" t="str">
        <x:v>关键输出</x:v>
      </x:c>
    </x:row>
    <x:row r="14" ht="28" customHeight="1">
      <x:c r="A14" s="26" t="str">
        <x:v>00_总览</x:v>
      </x:c>
      <x:c r="B14" s="26" t="str">
        <x:v>核心KPI与图表</x:v>
      </x:c>
      <x:c r="C14" s="26" t="str">
        <x:v>无</x:v>
      </x:c>
      <x:c r="D14" s="26" t="str">
        <x:v>里程碑/经济/完成度</x:v>
      </x:c>
      <x:c r="F14" s="19" t="str">
        <x:v>设计依据</x:v>
      </x:c>
      <x:c r="G14" s="20" t="str">
        <x:v>文件</x:v>
      </x:c>
      <x:c r="H14" s="21" t="str">
        <x:v>重点</x:v>
      </x:c>
    </x:row>
    <x:row r="15">
      <x:c r="A15" s="27" t="str">
        <x:v>01_核心假设</x:v>
      </x:c>
      <x:c r="B15" s="27" t="str">
        <x:v>全局控制参数</x:v>
      </x:c>
      <x:c r="C15" s="27" t="str">
        <x:v>黄色数值</x:v>
      </x:c>
      <x:c r="D15" s="27" t="str">
        <x:v>所有工作表驱动</x:v>
      </x:c>
      <x:c r="F15" s="26" t="str">
        <x:v>核心GDD</x:v>
      </x:c>
      <x:c r="G15" s="26" t="str">
        <x:v>docs/修仙_Idle_MMO_核心游戏设计_GDD_V0.1.md</x:v>
      </x:c>
      <x:c r="H15" s="26" t="str">
        <x:v>境界、闭关、百艺、经济、MVP</x:v>
      </x:c>
    </x:row>
    <x:row r="16">
      <x:c r="A16" s="27" t="str">
        <x:v>02_境界时间轴</x:v>
      </x:c>
      <x:c r="B16" s="27" t="str">
        <x:v>境界阶段与解锁</x:v>
      </x:c>
      <x:c r="C16" s="27" t="str">
        <x:v>阶段XP/目标日</x:v>
      </x:c>
      <x:c r="D16" s="27" t="str">
        <x:v>累计门槛</x:v>
      </x:c>
      <x:c r="F16" s="27" t="str">
        <x:v>系统逆向</x:v>
      </x:c>
      <x:c r="G16" s="27" t="str">
        <x:v>docs/Milky_Way_Idle_系统与数值设计逆向文档_V1.0.md</x:v>
      </x:c>
      <x:c r="H16" s="27" t="str">
        <x:v>行动队列、技能、市场、Sink</x:v>
      </x:c>
    </x:row>
    <x:row r="17">
      <x:c r="A17" s="27" t="str">
        <x:v>03_修为XP</x:v>
      </x:c>
      <x:c r="B17" s="27" t="str">
        <x:v>小层级曲线</x:v>
      </x:c>
      <x:c r="C17" s="27" t="str">
        <x:v>指数</x:v>
      </x:c>
      <x:c r="D17" s="27" t="str">
        <x:v>每层XP</x:v>
      </x:c>
      <x:c r="F17" s="27" t="str">
        <x:v>数值逆向</x:v>
      </x:c>
      <x:c r="G17" s="27" t="str">
        <x:v>docs/Milky_Way_Idle_完整数值系统逆向分析_V2.0.md</x:v>
      </x:c>
      <x:c r="H17" s="27" t="str">
        <x:v>XP、速度、效率、经济公式</x:v>
      </x:c>
    </x:row>
    <x:row r="18">
      <x:c r="A18" s="27" t="str">
        <x:v>04_百艺XP</x:v>
      </x:c>
      <x:c r="B18" s="27" t="str">
        <x:v>技能成长曲线</x:v>
      </x:c>
      <x:c r="C18" s="27" t="str">
        <x:v>XP系数/指数</x:v>
      </x:c>
      <x:c r="D18" s="27" t="str">
        <x:v>工具节点</x:v>
      </x:c>
      <x:c r="F18" s="28" t="str">
        <x:v>成长逆向</x:v>
      </x:c>
      <x:c r="G18" s="28" t="str">
        <x:v>docs/Milky_Way_Idle_内容解锁与玩家成长路径逆向_V3.0.md</x:v>
      </x:c>
      <x:c r="H18" s="28" t="str">
        <x:v>解锁节奏、工具节点、专业化</x:v>
      </x:c>
    </x:row>
    <x:row r="19">
      <x:c r="A19" s="27" t="str">
        <x:v>05_采集行动</x:v>
      </x:c>
      <x:c r="B19" s="27" t="str">
        <x:v>资源产出</x:v>
      </x:c>
      <x:c r="C19" s="27" t="str">
        <x:v>时间/产量/稀有率</x:v>
      </x:c>
      <x:c r="D19" s="27" t="str">
        <x:v>价值与XP/小时</x:v>
      </x:c>
    </x:row>
    <x:row r="20">
      <x:c r="A20" s="27" t="str">
        <x:v>06_炼丹配方</x:v>
      </x:c>
      <x:c r="B20" s="27" t="str">
        <x:v>消耗品经济</x:v>
      </x:c>
      <x:c r="C20" s="27" t="str">
        <x:v>配方/时间/效果</x:v>
      </x:c>
      <x:c r="D20" s="27" t="str">
        <x:v>利润/小时</x:v>
      </x:c>
    </x:row>
    <x:row r="21" ht="28" customHeight="1">
      <x:c r="A21" s="27" t="str">
        <x:v>07_炼器配方</x:v>
      </x:c>
      <x:c r="B21" s="27" t="str">
        <x:v>装备工具制造</x:v>
      </x:c>
      <x:c r="C21" s="27" t="str">
        <x:v>材料/时间</x:v>
      </x:c>
      <x:c r="D21" s="27" t="str">
        <x:v>利润/小时</x:v>
      </x:c>
      <x:c r="F21" s="19" t="str">
        <x:v>已知边界</x:v>
      </x:c>
      <x:c r="G21" s="20" t="str">
        <x:v>处理方式</x:v>
      </x:c>
      <x:c r="H21" s="21" t="str">
        <x:v>下一数据来源</x:v>
      </x:c>
    </x:row>
    <x:row r="22">
      <x:c r="A22" s="27" t="str">
        <x:v>08_工具梯度</x:v>
      </x:c>
      <x:c r="B22" s="27" t="str">
        <x:v>阶段效率跃迁</x:v>
      </x:c>
      <x:c r="C22" s="27" t="str">
        <x:v>加成/门槛</x:v>
      </x:c>
      <x:c r="D22" s="27" t="str">
        <x:v>回本小时</x:v>
      </x:c>
      <x:c r="F22" s="26" t="str">
        <x:v>市场仍为模拟</x:v>
      </x:c>
      <x:c r="G22" s="26" t="str">
        <x:v>使用基准价与价差</x:v>
      </x:c>
      <x:c r="H22" s="26" t="str">
        <x:v>Alpha成交记录</x:v>
      </x:c>
    </x:row>
    <x:row r="23">
      <x:c r="A23" s="27" t="str">
        <x:v>09_装备梯度</x:v>
      </x:c>
      <x:c r="B23" s="27" t="str">
        <x:v>内部战力预算</x:v>
      </x:c>
      <x:c r="C23" s="27" t="str">
        <x:v>属性</x:v>
      </x:c>
      <x:c r="D23" s="27" t="str">
        <x:v>战力指数</x:v>
      </x:c>
      <x:c r="F23" s="27" t="str">
        <x:v>Day90+为扩展锚点</x:v>
      </x:c>
      <x:c r="G23" s="27" t="str">
        <x:v>不承诺完整内容量</x:v>
      </x:c>
      <x:c r="H23" s="27" t="str">
        <x:v>后续GDD</x:v>
      </x:c>
    </x:row>
    <x:row r="24">
      <x:c r="A24" s="27" t="str">
        <x:v>10_怪物秘境</x:v>
      </x:c>
      <x:c r="B24" s="27" t="str">
        <x:v>挂机战斗与主动挑战</x:v>
      </x:c>
      <x:c r="C24" s="27" t="str">
        <x:v>怪物/掉落/秘境</x:v>
      </x:c>
      <x:c r="D24" s="27" t="str">
        <x:v>净价值</x:v>
      </x:c>
      <x:c r="F24" s="27" t="str">
        <x:v>秘境战略价值为折算</x:v>
      </x:c>
      <x:c r="G24" s="27" t="str">
        <x:v>单列可调系数</x:v>
      </x:c>
      <x:c r="H24" s="27" t="str">
        <x:v>玩家选择与掉落数据</x:v>
      </x:c>
    </x:row>
    <x:row r="25">
      <x:c r="A25" s="27" t="str">
        <x:v>11_突破成本</x:v>
      </x:c>
      <x:c r="B25" s="27" t="str">
        <x:v>境界项目成本</x:v>
      </x:c>
      <x:c r="C25" s="27" t="str">
        <x:v>材料/灵石</x:v>
      </x:c>
      <x:c r="D25" s="27" t="str">
        <x:v>总成本/天数</x:v>
      </x:c>
      <x:c r="F25" s="27" t="str">
        <x:v>玩家画像为抽象模型</x:v>
      </x:c>
      <x:c r="G25" s="27" t="str">
        <x:v>保留三种代表路线</x:v>
      </x:c>
      <x:c r="H25" s="27" t="str">
        <x:v>行为埋点</x:v>
      </x:c>
    </x:row>
    <x:row r="26">
      <x:c r="A26" s="27" t="str">
        <x:v>12_洞府成本</x:v>
      </x:c>
      <x:c r="B26" s="27" t="str">
        <x:v>永久成长Sink</x:v>
      </x:c>
      <x:c r="C26" s="27" t="str">
        <x:v>成本/加成</x:v>
      </x:c>
      <x:c r="D26" s="27" t="str">
        <x:v>回本小时</x:v>
      </x:c>
      <x:c r="F26" s="28" t="str">
        <x:v>反作弊未进入公式</x:v>
      </x:c>
      <x:c r="G26" s="28" t="str">
        <x:v>经济设计预留税与Sink</x:v>
      </x:c>
      <x:c r="H26" s="28" t="str">
        <x:v>服务器风控数据</x:v>
      </x:c>
    </x:row>
    <x:row r="27">
      <x:c r="A27" s="27" t="str">
        <x:v>13_淬炼成本</x:v>
      </x:c>
      <x:c r="B27" s="27" t="str">
        <x:v>装备长期Sink</x:v>
      </x:c>
      <x:c r="C27" s="27" t="str">
        <x:v>成功率/消耗</x:v>
      </x:c>
      <x:c r="D27" s="27" t="str">
        <x:v>期望累计成本</x:v>
      </x:c>
    </x:row>
    <x:row r="28">
      <x:c r="A28" s="27" t="str">
        <x:v>14_市场基准价</x:v>
      </x:c>
      <x:c r="B28" s="27" t="str">
        <x:v>模拟市场锚</x:v>
      </x:c>
      <x:c r="C28" s="27" t="str">
        <x:v>基准价</x:v>
      </x:c>
      <x:c r="D28" s="27" t="str">
        <x:v>买卖盘/NPC底价</x:v>
      </x:c>
    </x:row>
    <x:row r="29">
      <x:c r="A29" s="27" t="str">
        <x:v>15_Faucet_Sink</x:v>
      </x:c>
      <x:c r="B29" s="27" t="str">
        <x:v>服务器经济流量</x:v>
      </x:c>
      <x:c r="C29" s="27" t="str">
        <x:v>日驱动量</x:v>
      </x:c>
      <x:c r="D29" s="27" t="str">
        <x:v>净流量/回收率</x:v>
      </x:c>
    </x:row>
    <x:row r="30">
      <x:c r="A30" s="27" t="str">
        <x:v>16_玩家成长模拟</x:v>
      </x:c>
      <x:c r="B30" s="27" t="str">
        <x:v>三画像长期模拟</x:v>
      </x:c>
      <x:c r="C30" s="27" t="str">
        <x:v>时间分配/专精</x:v>
      </x:c>
      <x:c r="D30" s="27" t="str">
        <x:v>Day里程碑</x:v>
      </x:c>
    </x:row>
    <x:row r="31">
      <x:c r="A31" s="27" t="str">
        <x:v>17_资源突破模拟</x:v>
      </x:c>
      <x:c r="B31" s="27" t="str">
        <x:v>突破多门槛</x:v>
      </x:c>
      <x:c r="C31" s="27" t="str">
        <x:v>库存折算</x:v>
      </x:c>
      <x:c r="D31" s="27" t="str">
        <x:v>实际境界</x:v>
      </x:c>
    </x:row>
    <x:row r="32">
      <x:c r="A32" s="27" t="str">
        <x:v>18_战力秘境模拟</x:v>
      </x:c>
      <x:c r="B32" s="27" t="str">
        <x:v>装备与秘境闭环</x:v>
      </x:c>
      <x:c r="C32" s="27" t="str">
        <x:v>推荐战力</x:v>
      </x:c>
      <x:c r="D32" s="27" t="str">
        <x:v>成功率/主动价值</x:v>
      </x:c>
    </x:row>
    <x:row r="33">
      <x:c r="A33" s="27" t="str">
        <x:v>19_平衡检查</x:v>
      </x:c>
      <x:c r="B33" s="27" t="str">
        <x:v>交付标准</x:v>
      </x:c>
      <x:c r="C33" s="27" t="str">
        <x:v>目标区间</x:v>
      </x:c>
      <x:c r="D33" s="27" t="str">
        <x:v>通过率</x:v>
      </x:c>
    </x:row>
    <x:row r="34">
      <x:c r="A34" s="28" t="str">
        <x:v>20_版本说明</x:v>
      </x:c>
      <x:c r="B34" s="28" t="str">
        <x:v>导航与维护</x:v>
      </x:c>
      <x:c r="C34" s="28" t="str">
        <x:v>无</x:v>
      </x:c>
      <x:c r="D34" s="28" t="str">
        <x:v>使用说明</x:v>
      </x:c>
    </x:row>
  </x:sheetData>
  <x:mergeCells>
    <x:mergeCell ref="A1:H1"/>
    <x:mergeCell ref="A2:H3"/>
  </x:mergeCells>
  <x:pageMargins left="0.7" right="0.7" top="0.75" bottom="0.75" header="0.3" footer="0.3"/>
</x:worksheet>
</file>